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visible" r:id="rId2"/>
    <sheet name="Card Register" sheetId="3" state="visible" r:id="rId3"/>
    <sheet name="Communication Log" sheetId="4" state="visible" r:id="rId4"/>
    <sheet name="Reminder Log" sheetId="5" state="visible" r:id="rId5"/>
    <sheet name="_calc" sheetId="6" state="hidden" r:id="rId6"/>
  </sheets>
  <definedNames>
    <definedName name="EarlyDays">Config!$B$4</definedName>
    <definedName name="WarnDays">Config!$B$5</definedName>
    <definedName name="DueDays">Config!$B$6</definedName>
    <definedName name="ReminderGapDays">Config!$B$7</definedName>
    <definedName name="RedAlert">Config!$B$8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mmm"/>
  </numFmts>
  <fonts count="23">
    <font>
      <name val="Calibri"/>
      <family val="2"/>
      <color theme="1"/>
      <sz val="11"/>
      <scheme val="minor"/>
    </font>
    <font>
      <b val="1"/>
      <color rgb="001B5E20"/>
      <sz val="14"/>
    </font>
    <font>
      <b val="1"/>
      <color rgb="00FFFFFF"/>
    </font>
    <font>
      <name val="Segoe UI Semibold"/>
      <b val="1"/>
      <color rgb="00FFFFFF"/>
      <sz val="22"/>
    </font>
    <font>
      <name val="Segoe UI"/>
      <i val="1"/>
      <color rgb="00C8A042"/>
      <sz val="11"/>
    </font>
    <font>
      <name val="Segoe UI"/>
      <b val="1"/>
      <color rgb="001B5E20"/>
      <sz val="11"/>
    </font>
    <font>
      <name val="Segoe UI Semibold"/>
      <b val="1"/>
      <color rgb="002F6DB5"/>
      <sz val="13"/>
    </font>
    <font>
      <name val="Segoe UI"/>
      <i val="1"/>
      <color rgb="008A938C"/>
      <sz val="9"/>
    </font>
    <font>
      <name val="Segoe UI Semibold"/>
      <b val="1"/>
      <color rgb="002F6DB5"/>
      <sz val="24"/>
    </font>
    <font>
      <name val="Segoe UI Semibold"/>
      <b val="1"/>
      <color rgb="00F39C12"/>
      <sz val="13"/>
    </font>
    <font>
      <name val="Segoe UI Semibold"/>
      <b val="1"/>
      <color rgb="00F39C12"/>
      <sz val="24"/>
    </font>
    <font>
      <name val="Segoe UI Semibold"/>
      <b val="1"/>
      <color rgb="002E7D32"/>
      <sz val="13"/>
    </font>
    <font>
      <name val="Segoe UI Semibold"/>
      <b val="1"/>
      <color rgb="002E7D32"/>
      <sz val="24"/>
    </font>
    <font>
      <name val="Segoe UI"/>
      <b val="1"/>
      <color rgb="008A938C"/>
      <sz val="10"/>
    </font>
    <font>
      <name val="Segoe UI Semibold"/>
      <b val="1"/>
      <color rgb="000E2A1E"/>
      <sz val="30"/>
    </font>
    <font>
      <name val="Segoe UI Semibold"/>
      <b val="1"/>
      <color rgb="002F6DB5"/>
      <sz val="30"/>
    </font>
    <font>
      <name val="Segoe UI Semibold"/>
      <b val="1"/>
      <color rgb="002E7D32"/>
      <sz val="30"/>
    </font>
    <font>
      <name val="Segoe UI Semibold"/>
      <b val="1"/>
      <color rgb="005B6B61"/>
      <sz val="30"/>
    </font>
    <font>
      <name val="Segoe UI Semibold"/>
      <b val="1"/>
      <color rgb="00C0392B"/>
      <sz val="30"/>
    </font>
    <font>
      <name val="Segoe UI Semibold"/>
      <b val="1"/>
      <color rgb="00F39C12"/>
      <sz val="30"/>
    </font>
    <font>
      <b val="1"/>
      <color rgb="00FFFFFF"/>
      <sz val="10"/>
    </font>
    <font>
      <color rgb="000E2A1E"/>
      <sz val="10"/>
    </font>
    <font>
      <i val="1"/>
      <color rgb="008A938C"/>
      <sz val="8.5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0B3D17"/>
      </patternFill>
    </fill>
    <fill>
      <patternFill patternType="solid">
        <fgColor rgb="00F4F6F4"/>
      </patternFill>
    </fill>
    <fill>
      <patternFill patternType="solid">
        <fgColor rgb="00E8F0FA"/>
      </patternFill>
    </fill>
    <fill>
      <patternFill patternType="solid">
        <fgColor rgb="00FEF3E0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17">
    <border>
      <left/>
      <right/>
      <top/>
      <bottom/>
      <diagonal/>
    </border>
    <border>
      <left style="thin">
        <color rgb="00D7DDD8"/>
      </left>
      <right style="thin">
        <color rgb="00D7DDD8"/>
      </right>
      <top style="thin">
        <color rgb="00D7DDD8"/>
      </top>
      <bottom style="thin">
        <color rgb="00D7DDD8"/>
      </bottom>
    </border>
    <border>
      <left style="thick">
        <color rgb="002F6DB5"/>
      </left>
    </border>
    <border>
      <left style="thick">
        <color rgb="002F6DB5"/>
      </left>
      <right/>
      <bottom/>
    </border>
    <border>
      <left style="thick">
        <color rgb="002F6DB5"/>
      </left>
      <right/>
      <top/>
      <bottom/>
      <diagonal/>
    </border>
    <border>
      <left style="thick">
        <color rgb="00F39C12"/>
      </left>
    </border>
    <border>
      <left style="thick">
        <color rgb="00F39C12"/>
      </left>
      <right/>
      <bottom/>
    </border>
    <border>
      <left style="thick">
        <color rgb="00F39C12"/>
      </left>
      <right/>
      <top/>
      <bottom/>
      <diagonal/>
    </border>
    <border>
      <left style="thick">
        <color rgb="002E7D32"/>
      </left>
    </border>
    <border>
      <left style="thick">
        <color rgb="002E7D32"/>
      </left>
      <right/>
      <bottom/>
    </border>
    <border>
      <left style="thick">
        <color rgb="002E7D32"/>
      </left>
      <right/>
      <top/>
      <bottom/>
      <diagonal/>
    </border>
    <border>
      <bottom style="thick">
        <color rgb="000E2A1E"/>
      </bottom>
    </border>
    <border>
      <bottom style="thick">
        <color rgb="002F6DB5"/>
      </bottom>
    </border>
    <border>
      <bottom style="thick">
        <color rgb="002E7D32"/>
      </bottom>
    </border>
    <border>
      <bottom style="thick">
        <color rgb="005B6B61"/>
      </bottom>
    </border>
    <border>
      <bottom style="thick">
        <color rgb="00C0392B"/>
      </bottom>
    </border>
    <border>
      <bottom style="thick">
        <color rgb="00F39C12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4" borderId="0" pivotButton="0" quotePrefix="0" xfId="0"/>
    <xf numFmtId="0" fontId="3" fillId="3" borderId="0" applyAlignment="1" pivotButton="0" quotePrefix="0" xfId="0">
      <alignment horizontal="left" vertical="center" indent="2"/>
    </xf>
    <xf numFmtId="0" fontId="4" fillId="3" borderId="0" applyAlignment="1" pivotButton="0" quotePrefix="0" xfId="0">
      <alignment horizontal="right" vertical="center" indent="2"/>
    </xf>
    <xf numFmtId="0" fontId="0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6" fillId="5" borderId="3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 indent="1"/>
    </xf>
    <xf numFmtId="0" fontId="9" fillId="6" borderId="6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right" vertical="center" indent="1"/>
    </xf>
    <xf numFmtId="0" fontId="11" fillId="7" borderId="9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right" vertical="center" indent="1"/>
    </xf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7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13" fillId="8" borderId="0" applyAlignment="1" pivotButton="0" quotePrefix="0" xfId="0">
      <alignment horizontal="left" vertical="center" indent="1"/>
    </xf>
    <xf numFmtId="0" fontId="14" fillId="8" borderId="0" applyAlignment="1" pivotButton="0" quotePrefix="0" xfId="0">
      <alignment horizontal="left" vertical="center" indent="1"/>
    </xf>
    <xf numFmtId="0" fontId="15" fillId="8" borderId="0" applyAlignment="1" pivotButton="0" quotePrefix="0" xfId="0">
      <alignment horizontal="left" vertical="center" indent="1"/>
    </xf>
    <xf numFmtId="0" fontId="16" fillId="8" borderId="0" applyAlignment="1" pivotButton="0" quotePrefix="0" xfId="0">
      <alignment horizontal="left" vertical="center" indent="1"/>
    </xf>
    <xf numFmtId="0" fontId="17" fillId="8" borderId="0" applyAlignment="1" pivotButton="0" quotePrefix="0" xfId="0">
      <alignment horizontal="left" vertical="center" indent="1"/>
    </xf>
    <xf numFmtId="0" fontId="18" fillId="8" borderId="0" applyAlignment="1" pivotButton="0" quotePrefix="0" xfId="0">
      <alignment horizontal="left" vertical="center" indent="1"/>
    </xf>
    <xf numFmtId="0" fontId="19" fillId="8" borderId="0" applyAlignment="1" pivotButton="0" quotePrefix="0" xfId="0">
      <alignment horizontal="left" vertical="center" indent="1"/>
    </xf>
    <xf numFmtId="0" fontId="0" fillId="8" borderId="11" pivotButton="0" quotePrefix="0" xfId="0"/>
    <xf numFmtId="0" fontId="0" fillId="8" borderId="12" pivotButton="0" quotePrefix="0" xfId="0"/>
    <xf numFmtId="0" fontId="0" fillId="8" borderId="13" pivotButton="0" quotePrefix="0" xfId="0"/>
    <xf numFmtId="0" fontId="0" fillId="8" borderId="14" pivotButton="0" quotePrefix="0" xfId="0"/>
    <xf numFmtId="0" fontId="0" fillId="8" borderId="15" pivotButton="0" quotePrefix="0" xfId="0"/>
    <xf numFmtId="0" fontId="0" fillId="8" borderId="16" pivotButton="0" quotePrefix="0" xfId="0"/>
    <xf numFmtId="0" fontId="20" fillId="3" borderId="0" applyAlignment="1" pivotButton="0" quotePrefix="0" xfId="0">
      <alignment horizontal="left" vertical="center" indent="1"/>
    </xf>
    <xf numFmtId="0" fontId="21" fillId="4" borderId="0" pivotButton="0" quotePrefix="0" xfId="0"/>
    <xf numFmtId="0" fontId="22" fillId="4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0" fontId="2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C0392B"/>
        </patternFill>
      </fill>
    </dxf>
    <dxf>
      <font>
        <b val="1"/>
        <color rgb="002E7D32"/>
      </font>
      <fill>
        <patternFill patternType="solid">
          <fgColor rgb="00E6F4EA"/>
        </patternFill>
      </fill>
    </dxf>
    <dxf>
      <font>
        <b val="1"/>
        <color rgb="00C0392B"/>
      </font>
      <fill>
        <patternFill patternType="solid">
          <fgColor rgb="00FBEAE8"/>
        </patternFill>
      </fill>
    </dxf>
    <dxf>
      <font>
        <b val="1"/>
        <color rgb="00F39C12"/>
      </font>
      <fill>
        <patternFill patternType="solid">
          <fgColor rgb="00FE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tx>
            <strRef>
              <f>'_calc'!B1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F6DB5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7D32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5B6B6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F39C12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'_calc'!$A$2:$A$5</f>
            </numRef>
          </cat>
          <val>
            <numRef>
              <f>'_calc'!$B$2:$B$5</f>
            </numRef>
          </val>
        </ser>
        <dLbls>
          <showVal val="1"/>
        </dLbls>
        <firstSliceAng val="0"/>
        <holeSize val="62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'_calc'!E1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1B5E20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dPt>
            <idx val="3"/>
            <spPr>
              <a:solidFill>
                <a:srgbClr val="C0392B"/>
              </a:solidFill>
              <a:ln>
                <a:prstDash val="solid"/>
              </a:ln>
            </spPr>
          </dPt>
          <cat>
            <numRef>
              <f>'_calc'!$D$2:$D$5</f>
            </numRef>
          </cat>
          <val>
            <numRef>
              <f>'_calc'!$E$2:$E$5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'_calc'!H1</f>
            </strRef>
          </tx>
          <spPr>
            <a:ln w="28000">
              <a:solidFill>
                <a:srgbClr val="1B5E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'_calc'!$G$2:$G$13</f>
            </numRef>
          </cat>
          <val>
            <numRef>
              <f>'_calc'!$H$2:$H$13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bar"/>
        <grouping val="percentStacked"/>
        <ser>
          <idx val="0"/>
          <order val="0"/>
          <tx>
            <strRef>
              <f>'_calc'!K1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'_calc'!$J$2</f>
            </numRef>
          </cat>
          <val>
            <numRef>
              <f>'_calc'!$K$2</f>
            </numRef>
          </val>
        </ser>
        <ser>
          <idx val="1"/>
          <order val="1"/>
          <tx>
            <strRef>
              <f>'_calc'!L1</f>
            </strRef>
          </tx>
          <spPr>
            <a:solidFill>
              <a:srgbClr val="1B5E20"/>
            </a:solidFill>
            <a:ln>
              <a:prstDash val="solid"/>
            </a:ln>
          </spPr>
          <cat>
            <numRef>
              <f>'_calc'!$J$2</f>
            </numRef>
          </cat>
          <val>
            <numRef>
              <f>'_calc'!$L$2</f>
            </numRef>
          </val>
        </ser>
        <ser>
          <idx val="2"/>
          <order val="2"/>
          <tx>
            <strRef>
              <f>'_calc'!M1</f>
            </strRef>
          </tx>
          <spPr>
            <a:solidFill>
              <a:srgbClr val="F39C12"/>
            </a:solidFill>
            <a:ln>
              <a:prstDash val="solid"/>
            </a:ln>
          </spPr>
          <cat>
            <numRef>
              <f>'_calc'!$J$2</f>
            </numRef>
          </cat>
          <val>
            <numRef>
              <f>'_calc'!$M$2</f>
            </numRef>
          </val>
        </ser>
        <ser>
          <idx val="3"/>
          <order val="3"/>
          <tx>
            <strRef>
              <f>'_calc'!N1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'_calc'!$J$2</f>
            </numRef>
          </cat>
          <val>
            <numRef>
              <f>'_calc'!$N$2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3960000" cy="24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18</row>
      <rowOff>0</rowOff>
    </from>
    <ext cx="5040000" cy="244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33</row>
      <rowOff>0</rowOff>
    </from>
    <ext cx="5040000" cy="244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33</row>
      <rowOff>0</rowOff>
    </from>
    <ext cx="5040000" cy="12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rdRegister" displayName="CardRegister" ref="A1:Q50" headerRowCount="1">
  <autoFilter ref="A1:Q50"/>
  <tableColumns count="17">
    <tableColumn id="1" name="Date"/>
    <tableColumn id="2" name="Customer Name"/>
    <tableColumn id="3" name="Card Number"/>
    <tableColumn id="4" name="Card Type"/>
    <tableColumn id="5" name="Phone Number"/>
    <tableColumn id="6" name="Email Address"/>
    <tableColumn id="7" name="Days in Branch"/>
    <tableColumn id="8" name="Status"/>
    <tableColumn id="9" name="Date Issued"/>
    <tableColumn id="10" name="Last Contact"/>
    <tableColumn id="11" name="Notes"/>
    <tableColumn id="12" name="Age Band"/>
    <tableColumn id="13" name="Lifecycle Stage"/>
    <tableColumn id="14" name="Due for Destruction"/>
    <tableColumn id="15" name="Days Overdue"/>
    <tableColumn id="16" name="Reminders Sent"/>
    <tableColumn id="17" name="Needs Remin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U5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2.5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4" customHeight="1">
      <c r="A2" s="1" t="n"/>
      <c r="B2" s="2" t="inlineStr">
        <is>
          <t>💳  CARD OPERATIONS — CONTROL CENTRE</t>
        </is>
      </c>
      <c r="P2" s="3">
        <f>TEXT(TODAY(),"dddd, dd mmm yyyy")</f>
        <v/>
      </c>
      <c r="U2" s="1" t="n"/>
    </row>
    <row r="3" ht="26" customHeight="1">
      <c r="A3" s="1" t="n"/>
      <c r="U3" s="1" t="n"/>
    </row>
    <row r="4" ht="14" customHeight="1">
      <c r="A4" s="1" t="n"/>
      <c r="U4" s="1" t="n"/>
    </row>
    <row r="5" ht="22" customHeight="1">
      <c r="A5" s="1" t="n"/>
      <c r="B5" s="4">
        <f>IF(COUNTIFS('Card Register'!$H$2:$H$50,"Held",'Card Register'!$G$2:$G$50,"&gt;="&amp;DueDays)&gt;RedAlert,"⚠  "&amp;COUNTIFS('Card Register'!$H$2:$H$50,"Held",'Card Register'!$G$2:$G$50,"&gt;="&amp;DueDays)&amp;" held cards are DUE FOR DESTRUCTION (limit "&amp;RedAlert&amp;"). Run the Destruction Register + final-notice reminders.","✓  Destruction backlog under control — "&amp;COUNTIFS('Card Register'!$H$2:$H$50,"Held",'Card Register'!$G$2:$G$50,"&gt;="&amp;DueDays)&amp;" card(s) at/over 90 days.")</f>
        <v/>
      </c>
      <c r="U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n"/>
      <c r="B7" s="5" t="inlineStr">
        <is>
          <t>THE CARD CYCLE</t>
        </is>
      </c>
      <c r="U7" s="1" t="n"/>
    </row>
    <row r="8" ht="18" customHeight="1">
      <c r="A8" s="1" t="n"/>
      <c r="B8" s="6" t="inlineStr">
        <is>
          <t>①  RECORD</t>
        </is>
      </c>
      <c r="F8" s="7">
        <f>COUNTA(CardRegister[Card Number])</f>
        <v/>
      </c>
      <c r="H8" s="1" t="n"/>
      <c r="I8" s="8" t="inlineStr">
        <is>
          <t>②  LIFECYCLE</t>
        </is>
      </c>
      <c r="M8" s="9">
        <f>COUNTIF('Card Register'!$H$2:$H$50,"Held*")</f>
        <v/>
      </c>
      <c r="O8" s="1" t="n"/>
      <c r="P8" s="10" t="inlineStr">
        <is>
          <t>③  REMIND</t>
        </is>
      </c>
      <c r="T8" s="11">
        <f>COUNTIF(CardRegister[Needs Reminder],"Yes")</f>
        <v/>
      </c>
    </row>
    <row r="9" ht="16" customHeight="1">
      <c r="A9" s="1" t="n"/>
      <c r="B9" s="12" t="n"/>
      <c r="H9" s="1" t="n"/>
      <c r="I9" s="13" t="n"/>
      <c r="O9" s="1" t="n"/>
      <c r="P9" s="14" t="n"/>
    </row>
    <row r="10" ht="16" customHeight="1">
      <c r="A10" s="1" t="n"/>
      <c r="B10" s="15" t="inlineStr">
        <is>
          <t>Logged on arrival</t>
        </is>
      </c>
      <c r="H10" s="1" t="n"/>
      <c r="I10" s="16" t="inlineStr">
        <is>
          <t>In branch, ageing</t>
        </is>
      </c>
      <c r="O10" s="1" t="n"/>
      <c r="P10" s="17" t="inlineStr">
        <is>
          <t>Reminders due now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n"/>
      <c r="B12" s="5" t="inlineStr">
        <is>
          <t>KEY METRICS</t>
        </is>
      </c>
      <c r="U12" s="1" t="n"/>
    </row>
    <row r="13" ht="16" customHeight="1">
      <c r="A13" s="1" t="n"/>
      <c r="B13" s="18" t="inlineStr">
        <is>
          <t>🗂  TOTAL CARDS</t>
        </is>
      </c>
      <c r="E13" s="18" t="inlineStr">
        <is>
          <t>🏦  IN BRANCH</t>
        </is>
      </c>
      <c r="H13" s="18" t="inlineStr">
        <is>
          <t>✅  COLLECTED</t>
        </is>
      </c>
      <c r="K13" s="18" t="inlineStr">
        <is>
          <t>🗑  DESTROYED</t>
        </is>
      </c>
      <c r="N13" s="18" t="inlineStr">
        <is>
          <t>⛔  DUE FOR DESTRUCTION</t>
        </is>
      </c>
      <c r="Q13" s="18" t="inlineStr">
        <is>
          <t>✉  NEEDS REMINDER</t>
        </is>
      </c>
      <c r="T13" s="1" t="n"/>
      <c r="U13" s="1" t="n"/>
    </row>
    <row r="14" ht="22" customHeight="1">
      <c r="A14" s="1" t="n"/>
      <c r="B14" s="19">
        <f>COUNTA(CardRegister[Card Number])</f>
        <v/>
      </c>
      <c r="E14" s="20">
        <f>COUNTIF('Card Register'!$H$2:$H$50,"Held*")</f>
        <v/>
      </c>
      <c r="H14" s="21">
        <f>COUNTIF('Card Register'!$H$2:$H$50,"Issued*")</f>
        <v/>
      </c>
      <c r="K14" s="22">
        <f>COUNTIF('Card Register'!$H$2:$H$50,"Destroyed*")</f>
        <v/>
      </c>
      <c r="N14" s="23">
        <f>COUNTIFS('Card Register'!$H$2:$H$50,"Held",'Card Register'!$G$2:$G$50,"&gt;="&amp;DueDays)</f>
        <v/>
      </c>
      <c r="Q14" s="24">
        <f>COUNTIF(CardRegister[Needs Reminder],"Yes")</f>
        <v/>
      </c>
      <c r="T14" s="1" t="n"/>
      <c r="U14" s="1" t="n"/>
    </row>
    <row r="15" ht="14" customHeight="1">
      <c r="A15" s="1" t="n"/>
      <c r="T15" s="1" t="n"/>
      <c r="U15" s="1" t="n"/>
    </row>
    <row r="16" ht="10" customHeight="1">
      <c r="A16" s="1" t="n"/>
      <c r="B16" s="25" t="n"/>
      <c r="C16" s="25" t="n"/>
      <c r="D16" s="25" t="n"/>
      <c r="E16" s="26" t="n"/>
      <c r="F16" s="26" t="n"/>
      <c r="G16" s="26" t="n"/>
      <c r="H16" s="27" t="n"/>
      <c r="I16" s="27" t="n"/>
      <c r="J16" s="27" t="n"/>
      <c r="K16" s="28" t="n"/>
      <c r="L16" s="28" t="n"/>
      <c r="M16" s="28" t="n"/>
      <c r="N16" s="29" t="n"/>
      <c r="O16" s="29" t="n"/>
      <c r="P16" s="29" t="n"/>
      <c r="Q16" s="30" t="n"/>
      <c r="R16" s="30" t="n"/>
      <c r="S16" s="30" t="n"/>
      <c r="T16" s="1" t="n"/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5" t="inlineStr">
        <is>
          <t>PORTFOLIO STATUS</t>
        </is>
      </c>
      <c r="J18" s="5" t="inlineStr">
        <is>
          <t>AGEING DISTRIBUTION (days in branch)</t>
        </is>
      </c>
      <c r="S18" s="1" t="n"/>
      <c r="T18" s="1" t="n"/>
      <c r="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5" t="inlineStr">
        <is>
          <t>RECORDING TREND — cards logged per month</t>
        </is>
      </c>
      <c r="J33" s="5" t="inlineStr">
        <is>
          <t>BRANCH HEALTH (share by age band)</t>
        </is>
      </c>
      <c r="S33" s="1" t="n"/>
      <c r="T33" s="1" t="n"/>
      <c r="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5" t="inlineStr">
        <is>
          <t>OLDEST CARDS IN BRANCH — action queue (oldest first)</t>
        </is>
      </c>
      <c r="U46" s="1" t="n"/>
    </row>
    <row r="47">
      <c r="A47" s="1" t="n"/>
      <c r="B47" s="31" t="inlineStr">
        <is>
          <t>Customer</t>
        </is>
      </c>
      <c r="G47" s="31" t="inlineStr">
        <is>
          <t>Card Number</t>
        </is>
      </c>
      <c r="J47" s="31" t="inlineStr">
        <is>
          <t>Days</t>
        </is>
      </c>
      <c r="L47" s="31" t="inlineStr">
        <is>
          <t>Band</t>
        </is>
      </c>
      <c r="N47" s="31" t="inlineStr">
        <is>
          <t>Reminders</t>
        </is>
      </c>
      <c r="P47" s="31" t="inlineStr">
        <is>
          <t>Last Contact</t>
        </is>
      </c>
      <c r="S47" s="1" t="n"/>
      <c r="T47" s="1" t="n"/>
      <c r="U47" s="1" t="n"/>
    </row>
    <row r="48">
      <c r="A48" s="1" t="n"/>
      <c r="B48" s="32">
        <f>IFERROR(LET(h,FILTER(CardRegister[[Customer Name]:[Reminders Sent]],CardRegister[Status]="Held"),TAKE(SORT(CHOOSECOLS(h,1,2,6,11,15),3,-1),10)),"No cards are currently Held — nothing in the action queue.")</f>
        <v/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33" t="inlineStr">
        <is>
          <t>Live workbook · ageing = TODAY()−Date Received · thresholds on Config · reminders &amp; destruction handled by the register's VBA (SendCardEmails / GenerateDestructionRegister).</t>
        </is>
      </c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</sheetData>
  <mergeCells count="38">
    <mergeCell ref="E13:G13"/>
    <mergeCell ref="B47:F47"/>
    <mergeCell ref="H14:J15"/>
    <mergeCell ref="N47:O47"/>
    <mergeCell ref="B8:E9"/>
    <mergeCell ref="B13:D13"/>
    <mergeCell ref="I10:L10"/>
    <mergeCell ref="L47:M47"/>
    <mergeCell ref="B18:I18"/>
    <mergeCell ref="B5:T5"/>
    <mergeCell ref="E14:G15"/>
    <mergeCell ref="H13:J13"/>
    <mergeCell ref="P8:S9"/>
    <mergeCell ref="N13:P13"/>
    <mergeCell ref="B2:O4"/>
    <mergeCell ref="Q14:S15"/>
    <mergeCell ref="P47:R47"/>
    <mergeCell ref="P10:S10"/>
    <mergeCell ref="P2:T4"/>
    <mergeCell ref="B7:T7"/>
    <mergeCell ref="G47:I47"/>
    <mergeCell ref="I8:L9"/>
    <mergeCell ref="B14:D15"/>
    <mergeCell ref="B46:T46"/>
    <mergeCell ref="T8:U10"/>
    <mergeCell ref="K13:M13"/>
    <mergeCell ref="J18:R18"/>
    <mergeCell ref="J33:R33"/>
    <mergeCell ref="B58:T58"/>
    <mergeCell ref="N14:P15"/>
    <mergeCell ref="Q13:S13"/>
    <mergeCell ref="F8:G10"/>
    <mergeCell ref="B12:T12"/>
    <mergeCell ref="J47:K47"/>
    <mergeCell ref="B33:I33"/>
    <mergeCell ref="K14:M15"/>
    <mergeCell ref="M8:N10"/>
    <mergeCell ref="B10:E10"/>
  </mergeCells>
  <conditionalFormatting sqref="B5">
    <cfRule type="expression" priority="1" dxfId="0">
      <formula>COUNTIFS('Card Register'!$H$2:$H$50,"Held",'Card Register'!$G$2:$G$50,"&gt;="&amp;DueDays)&gt;RedAlert</formula>
    </cfRule>
    <cfRule type="expression" priority="2" dxfId="1">
      <formula>COUNTIFS('Card Register'!$H$2:$H$50,"Held",'Card Register'!$G$2:$G$50,"&gt;="&amp;DueDays)&lt;=RedAlert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56" customWidth="1" min="3" max="3"/>
  </cols>
  <sheetData>
    <row r="1">
      <c r="A1" s="34" t="inlineStr">
        <is>
          <t>Card Lifecycle — Configuration</t>
        </is>
      </c>
    </row>
    <row r="3">
      <c r="A3" s="35" t="inlineStr">
        <is>
          <t>Name</t>
        </is>
      </c>
      <c r="B3" s="35" t="inlineStr">
        <is>
          <t>Value</t>
        </is>
      </c>
      <c r="C3" s="35" t="inlineStr">
        <is>
          <t>Meaning</t>
        </is>
      </c>
    </row>
    <row r="4">
      <c r="A4" t="inlineStr">
        <is>
          <t>EarlyDays</t>
        </is>
      </c>
      <c r="B4" t="n">
        <v>30</v>
      </c>
      <c r="C4" t="inlineStr">
        <is>
          <t>New band ceiling (0-29 days)</t>
        </is>
      </c>
    </row>
    <row r="5">
      <c r="A5" t="inlineStr">
        <is>
          <t>WarnDays</t>
        </is>
      </c>
      <c r="B5" t="n">
        <v>60</v>
      </c>
      <c r="C5" t="inlineStr">
        <is>
          <t>Warning band starts (60 days)</t>
        </is>
      </c>
    </row>
    <row r="6">
      <c r="A6" t="inlineStr">
        <is>
          <t>DueDays</t>
        </is>
      </c>
      <c r="B6" t="n">
        <v>90</v>
      </c>
      <c r="C6" t="inlineStr">
        <is>
          <t>Destruction due (90 days) — the rule</t>
        </is>
      </c>
    </row>
    <row r="7">
      <c r="A7" t="inlineStr">
        <is>
          <t>ReminderGapDays</t>
        </is>
      </c>
      <c r="B7" t="n">
        <v>7</v>
      </c>
      <c r="C7" t="inlineStr">
        <is>
          <t>Min days between reminder emails (anti-spam)</t>
        </is>
      </c>
    </row>
    <row r="8">
      <c r="A8" t="inlineStr">
        <is>
          <t>RedAlert</t>
        </is>
      </c>
      <c r="B8" t="n">
        <v>5</v>
      </c>
      <c r="C8" t="inlineStr">
        <is>
          <t>Banner fires when due-for-destruction exceeds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18" customWidth="1" min="4" max="4"/>
    <col width="13" customWidth="1" min="5" max="5"/>
    <col width="24" customWidth="1" min="6" max="6"/>
    <col width="9" customWidth="1" min="7" max="7"/>
    <col width="10" customWidth="1" min="8" max="8"/>
    <col width="11" customWidth="1" min="9" max="9"/>
    <col width="12" customWidth="1" min="10" max="10"/>
    <col width="22" customWidth="1" min="11" max="11"/>
    <col width="9" customWidth="1" min="12" max="12"/>
    <col width="13" customWidth="1" min="13" max="13"/>
    <col width="9" customWidth="1" min="14" max="14"/>
    <col width="9" customWidth="1" min="15" max="15"/>
    <col width="8" customWidth="1" min="16" max="16"/>
    <col width="8" customWidth="1" min="17" max="17"/>
  </cols>
  <sheetData>
    <row r="1" ht="30" customHeight="1">
      <c r="A1" s="36" t="inlineStr">
        <is>
          <t>Date</t>
        </is>
      </c>
      <c r="B1" s="36" t="inlineStr">
        <is>
          <t>Customer Name</t>
        </is>
      </c>
      <c r="C1" s="36" t="inlineStr">
        <is>
          <t>Card Number</t>
        </is>
      </c>
      <c r="D1" s="36" t="inlineStr">
        <is>
          <t>Card Type</t>
        </is>
      </c>
      <c r="E1" s="36" t="inlineStr">
        <is>
          <t>Phone Number</t>
        </is>
      </c>
      <c r="F1" s="36" t="inlineStr">
        <is>
          <t>Email Address</t>
        </is>
      </c>
      <c r="G1" s="36" t="inlineStr">
        <is>
          <t>Days in Branch</t>
        </is>
      </c>
      <c r="H1" s="36" t="inlineStr">
        <is>
          <t>Status</t>
        </is>
      </c>
      <c r="I1" s="36" t="inlineStr">
        <is>
          <t>Date Issued</t>
        </is>
      </c>
      <c r="J1" s="36" t="inlineStr">
        <is>
          <t>Last Contact</t>
        </is>
      </c>
      <c r="K1" s="36" t="inlineStr">
        <is>
          <t>Notes</t>
        </is>
      </c>
      <c r="L1" s="36" t="inlineStr">
        <is>
          <t>Age Band</t>
        </is>
      </c>
      <c r="M1" s="36" t="inlineStr">
        <is>
          <t>Lifecycle Stage</t>
        </is>
      </c>
      <c r="N1" s="36" t="inlineStr">
        <is>
          <t>Due for Destruction</t>
        </is>
      </c>
      <c r="O1" s="36" t="inlineStr">
        <is>
          <t>Days Overdue</t>
        </is>
      </c>
      <c r="P1" s="36" t="inlineStr">
        <is>
          <t>Reminders Sent</t>
        </is>
      </c>
      <c r="Q1" s="36" t="inlineStr">
        <is>
          <t>Needs Reminder</t>
        </is>
      </c>
    </row>
    <row r="2">
      <c r="A2" s="37" t="n">
        <v>46024</v>
      </c>
      <c r="B2" s="38" t="inlineStr">
        <is>
          <t>Garet Ochieng</t>
        </is>
      </c>
      <c r="C2" s="38" t="inlineStr">
        <is>
          <t>547743*2086</t>
        </is>
      </c>
      <c r="D2" s="38" t="inlineStr"/>
      <c r="E2" s="38" t="inlineStr">
        <is>
          <t>0717071977</t>
        </is>
      </c>
      <c r="F2" s="38" t="n"/>
      <c r="G2" s="38">
        <f>IF($I2="",TODAY()-$A2,$I2-$A2)</f>
        <v/>
      </c>
      <c r="H2" s="38" t="inlineStr">
        <is>
          <t>Destroyed</t>
        </is>
      </c>
      <c r="I2" s="38" t="n"/>
      <c r="J2" s="38" t="n"/>
      <c r="K2" s="38" t="inlineStr">
        <is>
          <t>Account closed</t>
        </is>
      </c>
      <c r="L2" s="38">
        <f>IF($G2&gt;=DueDays,"Due",IF($G2&gt;=WarnDays,"Warning",IF($G2&gt;=EarlyDays,"Normal","New")))</f>
        <v/>
      </c>
      <c r="M2" s="38">
        <f>IFS($H2="Held","In Branch",$H2="Issued","Collected",$H2="Destroyed","Destroyed",TRUE,"Pending")</f>
        <v/>
      </c>
      <c r="N2" s="38">
        <f>AND($H2="Held",$G2&gt;=DueDays)</f>
        <v/>
      </c>
      <c r="O2" s="38">
        <f>IF($N2,$G2-DueDays,"")</f>
        <v/>
      </c>
      <c r="P2" s="38">
        <f>COUNTIF('Communication Log'!$C:$C,$C2)</f>
        <v/>
      </c>
      <c r="Q2" s="38">
        <f>IF($H2&lt;&gt;"Held","No",IF(AND($G2&gt;=EarlyDays,OR($J2="",TODAY()-$J2&gt;=ReminderGapDays)),"Yes","No"))</f>
        <v/>
      </c>
    </row>
    <row r="3">
      <c r="A3" s="37" t="n">
        <v>46027</v>
      </c>
      <c r="B3" s="38" t="inlineStr">
        <is>
          <t>Margaret Wangui Njora</t>
        </is>
      </c>
      <c r="C3" s="38" t="inlineStr">
        <is>
          <t>547743*9951</t>
        </is>
      </c>
      <c r="D3" s="38" t="inlineStr"/>
      <c r="E3" s="38" t="inlineStr">
        <is>
          <t>0701609409</t>
        </is>
      </c>
      <c r="F3" s="38" t="inlineStr">
        <is>
          <t>MARGARETNJORA6@GMAIL.COM</t>
        </is>
      </c>
      <c r="G3" s="38">
        <f>IF($I3="",TODAY()-$A3,$I3-$A3)</f>
        <v/>
      </c>
      <c r="H3" s="38" t="inlineStr">
        <is>
          <t>Issued</t>
        </is>
      </c>
      <c r="I3" s="37" t="n">
        <v>46104</v>
      </c>
      <c r="J3" s="38" t="n"/>
      <c r="K3" s="38" t="inlineStr">
        <is>
          <t>Thika</t>
        </is>
      </c>
      <c r="L3" s="38">
        <f>IF($G3&gt;=DueDays,"Due",IF($G3&gt;=WarnDays,"Warning",IF($G3&gt;=EarlyDays,"Normal","New")))</f>
        <v/>
      </c>
      <c r="M3" s="38">
        <f>IFS($H3="Held","In Branch",$H3="Issued","Collected",$H3="Destroyed","Destroyed",TRUE,"Pending")</f>
        <v/>
      </c>
      <c r="N3" s="38">
        <f>AND($H3="Held",$G3&gt;=DueDays)</f>
        <v/>
      </c>
      <c r="O3" s="38">
        <f>IF($N3,$G3-DueDays,"")</f>
        <v/>
      </c>
      <c r="P3" s="38">
        <f>COUNTIF('Communication Log'!$C:$C,$C3)</f>
        <v/>
      </c>
      <c r="Q3" s="38">
        <f>IF($H3&lt;&gt;"Held","No",IF(AND($G3&gt;=EarlyDays,OR($J3="",TODAY()-$J3&gt;=ReminderGapDays)),"Yes","No"))</f>
        <v/>
      </c>
    </row>
    <row r="4">
      <c r="A4" s="37" t="n">
        <v>46043</v>
      </c>
      <c r="B4" s="38" t="inlineStr">
        <is>
          <t>Salome Njoki Nyoro</t>
        </is>
      </c>
      <c r="C4" s="38" t="inlineStr">
        <is>
          <t>547743*9984</t>
        </is>
      </c>
      <c r="D4" s="38" t="inlineStr"/>
      <c r="E4" s="38" t="inlineStr">
        <is>
          <t>0722782686</t>
        </is>
      </c>
      <c r="F4" s="38" t="n"/>
      <c r="G4" s="38">
        <f>IF($I4="",TODAY()-$A4,$I4-$A4)</f>
        <v/>
      </c>
      <c r="H4" s="38" t="inlineStr">
        <is>
          <t>Issued</t>
        </is>
      </c>
      <c r="I4" s="37" t="n">
        <v>46043</v>
      </c>
      <c r="J4" s="38" t="n"/>
      <c r="K4" s="38" t="n"/>
      <c r="L4" s="38">
        <f>IF($G4&gt;=DueDays,"Due",IF($G4&gt;=WarnDays,"Warning",IF($G4&gt;=EarlyDays,"Normal","New")))</f>
        <v/>
      </c>
      <c r="M4" s="38">
        <f>IFS($H4="Held","In Branch",$H4="Issued","Collected",$H4="Destroyed","Destroyed",TRUE,"Pending")</f>
        <v/>
      </c>
      <c r="N4" s="38">
        <f>AND($H4="Held",$G4&gt;=DueDays)</f>
        <v/>
      </c>
      <c r="O4" s="38">
        <f>IF($N4,$G4-DueDays,"")</f>
        <v/>
      </c>
      <c r="P4" s="38">
        <f>COUNTIF('Communication Log'!$C:$C,$C4)</f>
        <v/>
      </c>
      <c r="Q4" s="38">
        <f>IF($H4&lt;&gt;"Held","No",IF(AND($G4&gt;=EarlyDays,OR($J4="",TODAY()-$J4&gt;=ReminderGapDays)),"Yes","No"))</f>
        <v/>
      </c>
    </row>
    <row r="5">
      <c r="A5" s="37" t="n">
        <v>46044</v>
      </c>
      <c r="B5" s="38" t="inlineStr">
        <is>
          <t>Jeesha Panchal</t>
        </is>
      </c>
      <c r="C5" s="38" t="inlineStr">
        <is>
          <t>555458*5087</t>
        </is>
      </c>
      <c r="D5" s="38" t="inlineStr"/>
      <c r="E5" s="38" t="inlineStr">
        <is>
          <t>N/A</t>
        </is>
      </c>
      <c r="F5" s="38" t="n"/>
      <c r="G5" s="38">
        <f>IF($I5="",TODAY()-$A5,$I5-$A5)</f>
        <v/>
      </c>
      <c r="H5" s="38" t="inlineStr">
        <is>
          <t>Issued</t>
        </is>
      </c>
      <c r="I5" s="37" t="n">
        <v>46044</v>
      </c>
      <c r="J5" s="38" t="n"/>
      <c r="K5" s="38" t="n"/>
      <c r="L5" s="38">
        <f>IF($G5&gt;=DueDays,"Due",IF($G5&gt;=WarnDays,"Warning",IF($G5&gt;=EarlyDays,"Normal","New")))</f>
        <v/>
      </c>
      <c r="M5" s="38">
        <f>IFS($H5="Held","In Branch",$H5="Issued","Collected",$H5="Destroyed","Destroyed",TRUE,"Pending")</f>
        <v/>
      </c>
      <c r="N5" s="38">
        <f>AND($H5="Held",$G5&gt;=DueDays)</f>
        <v/>
      </c>
      <c r="O5" s="38">
        <f>IF($N5,$G5-DueDays,"")</f>
        <v/>
      </c>
      <c r="P5" s="38">
        <f>COUNTIF('Communication Log'!$C:$C,$C5)</f>
        <v/>
      </c>
      <c r="Q5" s="38">
        <f>IF($H5&lt;&gt;"Held","No",IF(AND($G5&gt;=EarlyDays,OR($J5="",TODAY()-$J5&gt;=ReminderGapDays)),"Yes","No"))</f>
        <v/>
      </c>
    </row>
    <row r="6">
      <c r="A6" s="37" t="n">
        <v>46029</v>
      </c>
      <c r="B6" s="38" t="inlineStr">
        <is>
          <t xml:space="preserve">Stacy a Liposhe </t>
        </is>
      </c>
      <c r="C6" s="38" t="inlineStr">
        <is>
          <t>547743*7765</t>
        </is>
      </c>
      <c r="D6" s="38" t="inlineStr"/>
      <c r="E6" s="38" t="inlineStr">
        <is>
          <t>0792967765</t>
        </is>
      </c>
      <c r="F6" s="38" t="n"/>
      <c r="G6" s="38">
        <f>IF($I6="",TODAY()-$A6,$I6-$A6)</f>
        <v/>
      </c>
      <c r="H6" s="38" t="inlineStr">
        <is>
          <t>Issued</t>
        </is>
      </c>
      <c r="I6" s="37" t="n">
        <v>46048</v>
      </c>
      <c r="J6" s="38" t="n"/>
      <c r="K6" s="38" t="n"/>
      <c r="L6" s="38">
        <f>IF($G6&gt;=DueDays,"Due",IF($G6&gt;=WarnDays,"Warning",IF($G6&gt;=EarlyDays,"Normal","New")))</f>
        <v/>
      </c>
      <c r="M6" s="38">
        <f>IFS($H6="Held","In Branch",$H6="Issued","Collected",$H6="Destroyed","Destroyed",TRUE,"Pending")</f>
        <v/>
      </c>
      <c r="N6" s="38">
        <f>AND($H6="Held",$G6&gt;=DueDays)</f>
        <v/>
      </c>
      <c r="O6" s="38">
        <f>IF($N6,$G6-DueDays,"")</f>
        <v/>
      </c>
      <c r="P6" s="38">
        <f>COUNTIF('Communication Log'!$C:$C,$C6)</f>
        <v/>
      </c>
      <c r="Q6" s="38">
        <f>IF($H6&lt;&gt;"Held","No",IF(AND($G6&gt;=EarlyDays,OR($J6="",TODAY()-$J6&gt;=ReminderGapDays)),"Yes","No"))</f>
        <v/>
      </c>
    </row>
    <row r="7">
      <c r="A7" s="37" t="n">
        <v>46049</v>
      </c>
      <c r="B7" s="38" t="inlineStr">
        <is>
          <t>Samuel Kinyeki</t>
        </is>
      </c>
      <c r="C7" s="38" t="inlineStr">
        <is>
          <t>547743*5034</t>
        </is>
      </c>
      <c r="D7" s="38" t="inlineStr"/>
      <c r="E7" s="38" t="inlineStr">
        <is>
          <t>0725254611</t>
        </is>
      </c>
      <c r="F7" s="38" t="inlineStr">
        <is>
          <t>SAMUELKINYEKI@GMAIL.COM</t>
        </is>
      </c>
      <c r="G7" s="38">
        <f>IF($I7="",TODAY()-$A7,$I7-$A7)</f>
        <v/>
      </c>
      <c r="H7" s="38" t="inlineStr">
        <is>
          <t>Issued</t>
        </is>
      </c>
      <c r="I7" s="37" t="n">
        <v>46049</v>
      </c>
      <c r="J7" s="38" t="n"/>
      <c r="K7" s="38" t="n"/>
      <c r="L7" s="38">
        <f>IF($G7&gt;=DueDays,"Due",IF($G7&gt;=WarnDays,"Warning",IF($G7&gt;=EarlyDays,"Normal","New")))</f>
        <v/>
      </c>
      <c r="M7" s="38">
        <f>IFS($H7="Held","In Branch",$H7="Issued","Collected",$H7="Destroyed","Destroyed",TRUE,"Pending")</f>
        <v/>
      </c>
      <c r="N7" s="38">
        <f>AND($H7="Held",$G7&gt;=DueDays)</f>
        <v/>
      </c>
      <c r="O7" s="38">
        <f>IF($N7,$G7-DueDays,"")</f>
        <v/>
      </c>
      <c r="P7" s="38">
        <f>COUNTIF('Communication Log'!$C:$C,$C7)</f>
        <v/>
      </c>
      <c r="Q7" s="38">
        <f>IF($H7&lt;&gt;"Held","No",IF(AND($G7&gt;=EarlyDays,OR($J7="",TODAY()-$J7&gt;=ReminderGapDays)),"Yes","No"))</f>
        <v/>
      </c>
    </row>
    <row r="8">
      <c r="A8" s="37" t="n">
        <v>46049</v>
      </c>
      <c r="B8" s="38" t="inlineStr">
        <is>
          <t>Adam R Abdallah</t>
        </is>
      </c>
      <c r="C8" s="38" t="inlineStr">
        <is>
          <t>547743*3740</t>
        </is>
      </c>
      <c r="D8" s="38" t="inlineStr"/>
      <c r="E8" s="38" t="inlineStr">
        <is>
          <t>0754562295</t>
        </is>
      </c>
      <c r="F8" s="38" t="n"/>
      <c r="G8" s="38">
        <f>IF($I8="",TODAY()-$A8,$I8-$A8)</f>
        <v/>
      </c>
      <c r="H8" s="38" t="inlineStr">
        <is>
          <t>Issued</t>
        </is>
      </c>
      <c r="I8" s="37" t="n">
        <v>46051</v>
      </c>
      <c r="J8" s="38" t="n"/>
      <c r="K8" s="38" t="n"/>
      <c r="L8" s="38">
        <f>IF($G8&gt;=DueDays,"Due",IF($G8&gt;=WarnDays,"Warning",IF($G8&gt;=EarlyDays,"Normal","New")))</f>
        <v/>
      </c>
      <c r="M8" s="38">
        <f>IFS($H8="Held","In Branch",$H8="Issued","Collected",$H8="Destroyed","Destroyed",TRUE,"Pending")</f>
        <v/>
      </c>
      <c r="N8" s="38">
        <f>AND($H8="Held",$G8&gt;=DueDays)</f>
        <v/>
      </c>
      <c r="O8" s="38">
        <f>IF($N8,$G8-DueDays,"")</f>
        <v/>
      </c>
      <c r="P8" s="38">
        <f>COUNTIF('Communication Log'!$C:$C,$C8)</f>
        <v/>
      </c>
      <c r="Q8" s="38">
        <f>IF($H8&lt;&gt;"Held","No",IF(AND($G8&gt;=EarlyDays,OR($J8="",TODAY()-$J8&gt;=ReminderGapDays)),"Yes","No"))</f>
        <v/>
      </c>
    </row>
    <row r="9">
      <c r="A9" s="37" t="n">
        <v>46051</v>
      </c>
      <c r="B9" s="38" t="inlineStr">
        <is>
          <t>Elly Simiyu</t>
        </is>
      </c>
      <c r="C9" s="38" t="inlineStr">
        <is>
          <t>547743*9942</t>
        </is>
      </c>
      <c r="D9" s="38" t="inlineStr"/>
      <c r="E9" s="38" t="inlineStr">
        <is>
          <t>0715136561</t>
        </is>
      </c>
      <c r="F9" s="38" t="n"/>
      <c r="G9" s="38">
        <f>IF($I9="",TODAY()-$A9,$I9-$A9)</f>
        <v/>
      </c>
      <c r="H9" s="38" t="inlineStr">
        <is>
          <t>Issued</t>
        </is>
      </c>
      <c r="I9" s="37" t="n">
        <v>46051</v>
      </c>
      <c r="J9" s="38" t="n"/>
      <c r="K9" s="38" t="n"/>
      <c r="L9" s="38">
        <f>IF($G9&gt;=DueDays,"Due",IF($G9&gt;=WarnDays,"Warning",IF($G9&gt;=EarlyDays,"Normal","New")))</f>
        <v/>
      </c>
      <c r="M9" s="38">
        <f>IFS($H9="Held","In Branch",$H9="Issued","Collected",$H9="Destroyed","Destroyed",TRUE,"Pending")</f>
        <v/>
      </c>
      <c r="N9" s="38">
        <f>AND($H9="Held",$G9&gt;=DueDays)</f>
        <v/>
      </c>
      <c r="O9" s="38">
        <f>IF($N9,$G9-DueDays,"")</f>
        <v/>
      </c>
      <c r="P9" s="38">
        <f>COUNTIF('Communication Log'!$C:$C,$C9)</f>
        <v/>
      </c>
      <c r="Q9" s="38">
        <f>IF($H9&lt;&gt;"Held","No",IF(AND($G9&gt;=EarlyDays,OR($J9="",TODAY()-$J9&gt;=ReminderGapDays)),"Yes","No"))</f>
        <v/>
      </c>
    </row>
    <row r="10">
      <c r="A10" s="37" t="n">
        <v>46053</v>
      </c>
      <c r="B10" s="38" t="inlineStr">
        <is>
          <t xml:space="preserve">Noreene Ngatu </t>
        </is>
      </c>
      <c r="C10" s="38" t="inlineStr">
        <is>
          <t>417360*6836</t>
        </is>
      </c>
      <c r="D10" s="38" t="inlineStr"/>
      <c r="E10" s="38" t="inlineStr">
        <is>
          <t>0710280135</t>
        </is>
      </c>
      <c r="F10" s="38" t="n"/>
      <c r="G10" s="38">
        <f>IF($I10="",TODAY()-$A10,$I10-$A10)</f>
        <v/>
      </c>
      <c r="H10" s="38" t="inlineStr">
        <is>
          <t>Issued</t>
        </is>
      </c>
      <c r="I10" s="37" t="n">
        <v>46055</v>
      </c>
      <c r="J10" s="38" t="n"/>
      <c r="K10" s="38" t="n"/>
      <c r="L10" s="38">
        <f>IF($G10&gt;=DueDays,"Due",IF($G10&gt;=WarnDays,"Warning",IF($G10&gt;=EarlyDays,"Normal","New")))</f>
        <v/>
      </c>
      <c r="M10" s="38">
        <f>IFS($H10="Held","In Branch",$H10="Issued","Collected",$H10="Destroyed","Destroyed",TRUE,"Pending")</f>
        <v/>
      </c>
      <c r="N10" s="38">
        <f>AND($H10="Held",$G10&gt;=DueDays)</f>
        <v/>
      </c>
      <c r="O10" s="38">
        <f>IF($N10,$G10-DueDays,"")</f>
        <v/>
      </c>
      <c r="P10" s="38">
        <f>COUNTIF('Communication Log'!$C:$C,$C10)</f>
        <v/>
      </c>
      <c r="Q10" s="38">
        <f>IF($H10&lt;&gt;"Held","No",IF(AND($G10&gt;=EarlyDays,OR($J10="",TODAY()-$J10&gt;=ReminderGapDays)),"Yes","No"))</f>
        <v/>
      </c>
    </row>
    <row r="11">
      <c r="A11" s="37" t="n">
        <v>46056</v>
      </c>
      <c r="B11" s="38" t="inlineStr">
        <is>
          <t>Juliet Olwala</t>
        </is>
      </c>
      <c r="C11" s="38" t="inlineStr">
        <is>
          <t>555458*9732</t>
        </is>
      </c>
      <c r="D11" s="38" t="inlineStr"/>
      <c r="E11" s="38" t="inlineStr">
        <is>
          <t>0724716589</t>
        </is>
      </c>
      <c r="F11" s="38" t="n"/>
      <c r="G11" s="38">
        <f>IF($I11="",TODAY()-$A11,$I11-$A11)</f>
        <v/>
      </c>
      <c r="H11" s="38" t="inlineStr">
        <is>
          <t>Issued</t>
        </is>
      </c>
      <c r="I11" s="37" t="n">
        <v>46057</v>
      </c>
      <c r="J11" s="38" t="n"/>
      <c r="K11" s="38" t="n"/>
      <c r="L11" s="38">
        <f>IF($G11&gt;=DueDays,"Due",IF($G11&gt;=WarnDays,"Warning",IF($G11&gt;=EarlyDays,"Normal","New")))</f>
        <v/>
      </c>
      <c r="M11" s="38">
        <f>IFS($H11="Held","In Branch",$H11="Issued","Collected",$H11="Destroyed","Destroyed",TRUE,"Pending")</f>
        <v/>
      </c>
      <c r="N11" s="38">
        <f>AND($H11="Held",$G11&gt;=DueDays)</f>
        <v/>
      </c>
      <c r="O11" s="38">
        <f>IF($N11,$G11-DueDays,"")</f>
        <v/>
      </c>
      <c r="P11" s="38">
        <f>COUNTIF('Communication Log'!$C:$C,$C11)</f>
        <v/>
      </c>
      <c r="Q11" s="38">
        <f>IF($H11&lt;&gt;"Held","No",IF(AND($G11&gt;=EarlyDays,OR($J11="",TODAY()-$J11&gt;=ReminderGapDays)),"Yes","No"))</f>
        <v/>
      </c>
    </row>
    <row r="12">
      <c r="A12" s="37" t="n">
        <v>46069</v>
      </c>
      <c r="B12" s="38" t="inlineStr">
        <is>
          <t>Mustafa Janoowala</t>
        </is>
      </c>
      <c r="C12" s="38" t="inlineStr">
        <is>
          <t>547743*6179</t>
        </is>
      </c>
      <c r="D12" s="38" t="inlineStr"/>
      <c r="E12" s="38" t="inlineStr">
        <is>
          <t>0757776125</t>
        </is>
      </c>
      <c r="F12" s="38" t="n"/>
      <c r="G12" s="38">
        <f>IF($I12="",TODAY()-$A12,$I12-$A12)</f>
        <v/>
      </c>
      <c r="H12" s="38" t="inlineStr">
        <is>
          <t>Issued</t>
        </is>
      </c>
      <c r="I12" s="37" t="n">
        <v>46069</v>
      </c>
      <c r="J12" s="38" t="n"/>
      <c r="K12" s="38" t="n"/>
      <c r="L12" s="38">
        <f>IF($G12&gt;=DueDays,"Due",IF($G12&gt;=WarnDays,"Warning",IF($G12&gt;=EarlyDays,"Normal","New")))</f>
        <v/>
      </c>
      <c r="M12" s="38">
        <f>IFS($H12="Held","In Branch",$H12="Issued","Collected",$H12="Destroyed","Destroyed",TRUE,"Pending")</f>
        <v/>
      </c>
      <c r="N12" s="38">
        <f>AND($H12="Held",$G12&gt;=DueDays)</f>
        <v/>
      </c>
      <c r="O12" s="38">
        <f>IF($N12,$G12-DueDays,"")</f>
        <v/>
      </c>
      <c r="P12" s="38">
        <f>COUNTIF('Communication Log'!$C:$C,$C12)</f>
        <v/>
      </c>
      <c r="Q12" s="38">
        <f>IF($H12&lt;&gt;"Held","No",IF(AND($G12&gt;=EarlyDays,OR($J12="",TODAY()-$J12&gt;=ReminderGapDays)),"Yes","No"))</f>
        <v/>
      </c>
    </row>
    <row r="13">
      <c r="A13" s="37" t="n">
        <v>46055</v>
      </c>
      <c r="B13" s="38" t="inlineStr">
        <is>
          <t xml:space="preserve">Samuel Waweru </t>
        </is>
      </c>
      <c r="C13" s="38" t="inlineStr">
        <is>
          <t>547743*5868</t>
        </is>
      </c>
      <c r="D13" s="38" t="inlineStr"/>
      <c r="E13" s="38" t="inlineStr">
        <is>
          <t>0720742752</t>
        </is>
      </c>
      <c r="F13" s="38" t="n"/>
      <c r="G13" s="38">
        <f>IF($I13="",TODAY()-$A13,$I13-$A13)</f>
        <v/>
      </c>
      <c r="H13" s="38" t="inlineStr">
        <is>
          <t>Issued</t>
        </is>
      </c>
      <c r="I13" s="37" t="n">
        <v>46071</v>
      </c>
      <c r="J13" s="38" t="n"/>
      <c r="K13" s="38" t="n"/>
      <c r="L13" s="38">
        <f>IF($G13&gt;=DueDays,"Due",IF($G13&gt;=WarnDays,"Warning",IF($G13&gt;=EarlyDays,"Normal","New")))</f>
        <v/>
      </c>
      <c r="M13" s="38">
        <f>IFS($H13="Held","In Branch",$H13="Issued","Collected",$H13="Destroyed","Destroyed",TRUE,"Pending")</f>
        <v/>
      </c>
      <c r="N13" s="38">
        <f>AND($H13="Held",$G13&gt;=DueDays)</f>
        <v/>
      </c>
      <c r="O13" s="38">
        <f>IF($N13,$G13-DueDays,"")</f>
        <v/>
      </c>
      <c r="P13" s="38">
        <f>COUNTIF('Communication Log'!$C:$C,$C13)</f>
        <v/>
      </c>
      <c r="Q13" s="38">
        <f>IF($H13&lt;&gt;"Held","No",IF(AND($G13&gt;=EarlyDays,OR($J13="",TODAY()-$J13&gt;=ReminderGapDays)),"Yes","No"))</f>
        <v/>
      </c>
    </row>
    <row r="14">
      <c r="A14" s="37" t="n">
        <v>46069</v>
      </c>
      <c r="B14" s="38" t="inlineStr">
        <is>
          <t>Nivendu Sennik</t>
        </is>
      </c>
      <c r="C14" s="38" t="inlineStr">
        <is>
          <t>410486*7245</t>
        </is>
      </c>
      <c r="D14" s="38" t="inlineStr"/>
      <c r="E14" s="38" t="inlineStr">
        <is>
          <t>0737511135</t>
        </is>
      </c>
      <c r="F14" s="38" t="n"/>
      <c r="G14" s="38">
        <f>IF($I14="",TODAY()-$A14,$I14-$A14)</f>
        <v/>
      </c>
      <c r="H14" s="38" t="inlineStr">
        <is>
          <t>Issued</t>
        </is>
      </c>
      <c r="I14" s="37" t="n">
        <v>46077</v>
      </c>
      <c r="J14" s="38" t="n"/>
      <c r="K14" s="38" t="n"/>
      <c r="L14" s="38">
        <f>IF($G14&gt;=DueDays,"Due",IF($G14&gt;=WarnDays,"Warning",IF($G14&gt;=EarlyDays,"Normal","New")))</f>
        <v/>
      </c>
      <c r="M14" s="38">
        <f>IFS($H14="Held","In Branch",$H14="Issued","Collected",$H14="Destroyed","Destroyed",TRUE,"Pending")</f>
        <v/>
      </c>
      <c r="N14" s="38">
        <f>AND($H14="Held",$G14&gt;=DueDays)</f>
        <v/>
      </c>
      <c r="O14" s="38">
        <f>IF($N14,$G14-DueDays,"")</f>
        <v/>
      </c>
      <c r="P14" s="38">
        <f>COUNTIF('Communication Log'!$C:$C,$C14)</f>
        <v/>
      </c>
      <c r="Q14" s="38">
        <f>IF($H14&lt;&gt;"Held","No",IF(AND($G14&gt;=EarlyDays,OR($J14="",TODAY()-$J14&gt;=ReminderGapDays)),"Yes","No"))</f>
        <v/>
      </c>
    </row>
    <row r="15">
      <c r="A15" s="37" t="n">
        <v>46074</v>
      </c>
      <c r="B15" s="38" t="inlineStr">
        <is>
          <t>Gerald Otieno</t>
        </is>
      </c>
      <c r="C15" s="38" t="inlineStr">
        <is>
          <t>547743*9968</t>
        </is>
      </c>
      <c r="D15" s="38" t="inlineStr"/>
      <c r="E15" s="38" t="inlineStr">
        <is>
          <t>0715278204</t>
        </is>
      </c>
      <c r="F15" s="38" t="n"/>
      <c r="G15" s="38">
        <f>IF($I15="",TODAY()-$A15,$I15-$A15)</f>
        <v/>
      </c>
      <c r="H15" s="38" t="inlineStr">
        <is>
          <t>Issued</t>
        </is>
      </c>
      <c r="I15" s="37" t="n">
        <v>46077</v>
      </c>
      <c r="J15" s="38" t="n"/>
      <c r="K15" s="38" t="n"/>
      <c r="L15" s="38">
        <f>IF($G15&gt;=DueDays,"Due",IF($G15&gt;=WarnDays,"Warning",IF($G15&gt;=EarlyDays,"Normal","New")))</f>
        <v/>
      </c>
      <c r="M15" s="38">
        <f>IFS($H15="Held","In Branch",$H15="Issued","Collected",$H15="Destroyed","Destroyed",TRUE,"Pending")</f>
        <v/>
      </c>
      <c r="N15" s="38">
        <f>AND($H15="Held",$G15&gt;=DueDays)</f>
        <v/>
      </c>
      <c r="O15" s="38">
        <f>IF($N15,$G15-DueDays,"")</f>
        <v/>
      </c>
      <c r="P15" s="38">
        <f>COUNTIF('Communication Log'!$C:$C,$C15)</f>
        <v/>
      </c>
      <c r="Q15" s="38">
        <f>IF($H15&lt;&gt;"Held","No",IF(AND($G15&gt;=EarlyDays,OR($J15="",TODAY()-$J15&gt;=ReminderGapDays)),"Yes","No"))</f>
        <v/>
      </c>
    </row>
    <row r="16">
      <c r="A16" s="37" t="n">
        <v>46065</v>
      </c>
      <c r="B16" s="38" t="inlineStr">
        <is>
          <t>Hamid Alvi</t>
        </is>
      </c>
      <c r="C16" s="38" t="inlineStr">
        <is>
          <t>555458*0173</t>
        </is>
      </c>
      <c r="D16" s="38" t="inlineStr"/>
      <c r="E16" s="38" t="inlineStr">
        <is>
          <t>0700126155</t>
        </is>
      </c>
      <c r="F16" s="38" t="n"/>
      <c r="G16" s="38">
        <f>IF($I16="",TODAY()-$A16,$I16-$A16)</f>
        <v/>
      </c>
      <c r="H16" s="38" t="inlineStr">
        <is>
          <t>Issued</t>
        </is>
      </c>
      <c r="I16" s="37" t="n">
        <v>46078</v>
      </c>
      <c r="J16" s="38" t="n"/>
      <c r="K16" s="38" t="n"/>
      <c r="L16" s="38">
        <f>IF($G16&gt;=DueDays,"Due",IF($G16&gt;=WarnDays,"Warning",IF($G16&gt;=EarlyDays,"Normal","New")))</f>
        <v/>
      </c>
      <c r="M16" s="38">
        <f>IFS($H16="Held","In Branch",$H16="Issued","Collected",$H16="Destroyed","Destroyed",TRUE,"Pending")</f>
        <v/>
      </c>
      <c r="N16" s="38">
        <f>AND($H16="Held",$G16&gt;=DueDays)</f>
        <v/>
      </c>
      <c r="O16" s="38">
        <f>IF($N16,$G16-DueDays,"")</f>
        <v/>
      </c>
      <c r="P16" s="38">
        <f>COUNTIF('Communication Log'!$C:$C,$C16)</f>
        <v/>
      </c>
      <c r="Q16" s="38">
        <f>IF($H16&lt;&gt;"Held","No",IF(AND($G16&gt;=EarlyDays,OR($J16="",TODAY()-$J16&gt;=ReminderGapDays)),"Yes","No"))</f>
        <v/>
      </c>
    </row>
    <row r="17">
      <c r="A17" s="37" t="n">
        <v>46065</v>
      </c>
      <c r="B17" s="38" t="inlineStr">
        <is>
          <t>Sobia Sardar</t>
        </is>
      </c>
      <c r="C17" s="38" t="inlineStr">
        <is>
          <t>555458*1546</t>
        </is>
      </c>
      <c r="D17" s="38" t="inlineStr"/>
      <c r="E17" s="38" t="inlineStr">
        <is>
          <t>N/A</t>
        </is>
      </c>
      <c r="F17" s="38" t="n"/>
      <c r="G17" s="38">
        <f>IF($I17="",TODAY()-$A17,$I17-$A17)</f>
        <v/>
      </c>
      <c r="H17" s="38" t="inlineStr">
        <is>
          <t>Issued</t>
        </is>
      </c>
      <c r="I17" s="37" t="n">
        <v>46078</v>
      </c>
      <c r="J17" s="38" t="n"/>
      <c r="K17" s="38" t="n"/>
      <c r="L17" s="38">
        <f>IF($G17&gt;=DueDays,"Due",IF($G17&gt;=WarnDays,"Warning",IF($G17&gt;=EarlyDays,"Normal","New")))</f>
        <v/>
      </c>
      <c r="M17" s="38">
        <f>IFS($H17="Held","In Branch",$H17="Issued","Collected",$H17="Destroyed","Destroyed",TRUE,"Pending")</f>
        <v/>
      </c>
      <c r="N17" s="38">
        <f>AND($H17="Held",$G17&gt;=DueDays)</f>
        <v/>
      </c>
      <c r="O17" s="38">
        <f>IF($N17,$G17-DueDays,"")</f>
        <v/>
      </c>
      <c r="P17" s="38">
        <f>COUNTIF('Communication Log'!$C:$C,$C17)</f>
        <v/>
      </c>
      <c r="Q17" s="38">
        <f>IF($H17&lt;&gt;"Held","No",IF(AND($G17&gt;=EarlyDays,OR($J17="",TODAY()-$J17&gt;=ReminderGapDays)),"Yes","No"))</f>
        <v/>
      </c>
    </row>
    <row r="18">
      <c r="A18" s="37" t="n">
        <v>46077</v>
      </c>
      <c r="B18" s="38" t="inlineStr">
        <is>
          <t>Rajkumar Patil</t>
        </is>
      </c>
      <c r="C18" s="38" t="inlineStr">
        <is>
          <t>555458*1873</t>
        </is>
      </c>
      <c r="D18" s="38" t="inlineStr"/>
      <c r="E18" s="38" t="inlineStr">
        <is>
          <t>0735500050</t>
        </is>
      </c>
      <c r="F18" s="38" t="n"/>
      <c r="G18" s="38">
        <f>IF($I18="",TODAY()-$A18,$I18-$A18)</f>
        <v/>
      </c>
      <c r="H18" s="38" t="inlineStr">
        <is>
          <t>Issued</t>
        </is>
      </c>
      <c r="I18" s="37" t="n">
        <v>46078</v>
      </c>
      <c r="J18" s="38" t="n"/>
      <c r="K18" s="38" t="n"/>
      <c r="L18" s="38">
        <f>IF($G18&gt;=DueDays,"Due",IF($G18&gt;=WarnDays,"Warning",IF($G18&gt;=EarlyDays,"Normal","New")))</f>
        <v/>
      </c>
      <c r="M18" s="38">
        <f>IFS($H18="Held","In Branch",$H18="Issued","Collected",$H18="Destroyed","Destroyed",TRUE,"Pending")</f>
        <v/>
      </c>
      <c r="N18" s="38">
        <f>AND($H18="Held",$G18&gt;=DueDays)</f>
        <v/>
      </c>
      <c r="O18" s="38">
        <f>IF($N18,$G18-DueDays,"")</f>
        <v/>
      </c>
      <c r="P18" s="38">
        <f>COUNTIF('Communication Log'!$C:$C,$C18)</f>
        <v/>
      </c>
      <c r="Q18" s="38">
        <f>IF($H18&lt;&gt;"Held","No",IF(AND($G18&gt;=EarlyDays,OR($J18="",TODAY()-$J18&gt;=ReminderGapDays)),"Yes","No"))</f>
        <v/>
      </c>
    </row>
    <row r="19">
      <c r="A19" s="37" t="n">
        <v>46076</v>
      </c>
      <c r="B19" s="38" t="inlineStr">
        <is>
          <t>Michael Mburu</t>
        </is>
      </c>
      <c r="C19" s="38" t="inlineStr">
        <is>
          <t>547743*9243</t>
        </is>
      </c>
      <c r="D19" s="38" t="inlineStr"/>
      <c r="E19" s="38" t="inlineStr">
        <is>
          <t>0726250213</t>
        </is>
      </c>
      <c r="F19" s="38" t="n"/>
      <c r="G19" s="38">
        <f>IF($I19="",TODAY()-$A19,$I19-$A19)</f>
        <v/>
      </c>
      <c r="H19" s="38" t="inlineStr">
        <is>
          <t>Issued</t>
        </is>
      </c>
      <c r="I19" s="37" t="n">
        <v>46079</v>
      </c>
      <c r="J19" s="38" t="n"/>
      <c r="K19" s="38" t="n"/>
      <c r="L19" s="38">
        <f>IF($G19&gt;=DueDays,"Due",IF($G19&gt;=WarnDays,"Warning",IF($G19&gt;=EarlyDays,"Normal","New")))</f>
        <v/>
      </c>
      <c r="M19" s="38">
        <f>IFS($H19="Held","In Branch",$H19="Issued","Collected",$H19="Destroyed","Destroyed",TRUE,"Pending")</f>
        <v/>
      </c>
      <c r="N19" s="38">
        <f>AND($H19="Held",$G19&gt;=DueDays)</f>
        <v/>
      </c>
      <c r="O19" s="38">
        <f>IF($N19,$G19-DueDays,"")</f>
        <v/>
      </c>
      <c r="P19" s="38">
        <f>COUNTIF('Communication Log'!$C:$C,$C19)</f>
        <v/>
      </c>
      <c r="Q19" s="38">
        <f>IF($H19&lt;&gt;"Held","No",IF(AND($G19&gt;=EarlyDays,OR($J19="",TODAY()-$J19&gt;=ReminderGapDays)),"Yes","No"))</f>
        <v/>
      </c>
    </row>
    <row r="20">
      <c r="A20" s="37" t="n">
        <v>46069</v>
      </c>
      <c r="B20" s="38" t="inlineStr">
        <is>
          <t>Levis Mungai</t>
        </is>
      </c>
      <c r="C20" s="38" t="inlineStr">
        <is>
          <t>547743*8499</t>
        </is>
      </c>
      <c r="D20" s="38" t="inlineStr"/>
      <c r="E20" s="38" t="inlineStr">
        <is>
          <t>0743269225</t>
        </is>
      </c>
      <c r="F20" s="38" t="inlineStr">
        <is>
          <t>nyoikslevis@gmail.com</t>
        </is>
      </c>
      <c r="G20" s="38">
        <f>IF($I20="",TODAY()-$A20,$I20-$A20)</f>
        <v/>
      </c>
      <c r="H20" s="38" t="inlineStr">
        <is>
          <t>Issued</t>
        </is>
      </c>
      <c r="I20" s="37" t="n">
        <v>46083</v>
      </c>
      <c r="J20" s="38" t="n"/>
      <c r="K20" s="38" t="n"/>
      <c r="L20" s="38">
        <f>IF($G20&gt;=DueDays,"Due",IF($G20&gt;=WarnDays,"Warning",IF($G20&gt;=EarlyDays,"Normal","New")))</f>
        <v/>
      </c>
      <c r="M20" s="38">
        <f>IFS($H20="Held","In Branch",$H20="Issued","Collected",$H20="Destroyed","Destroyed",TRUE,"Pending")</f>
        <v/>
      </c>
      <c r="N20" s="38">
        <f>AND($H20="Held",$G20&gt;=DueDays)</f>
        <v/>
      </c>
      <c r="O20" s="38">
        <f>IF($N20,$G20-DueDays,"")</f>
        <v/>
      </c>
      <c r="P20" s="38">
        <f>COUNTIF('Communication Log'!$C:$C,$C20)</f>
        <v/>
      </c>
      <c r="Q20" s="38">
        <f>IF($H20&lt;&gt;"Held","No",IF(AND($G20&gt;=EarlyDays,OR($J20="",TODAY()-$J20&gt;=ReminderGapDays)),"Yes","No"))</f>
        <v/>
      </c>
    </row>
    <row r="21">
      <c r="A21" s="37" t="n">
        <v>46052</v>
      </c>
      <c r="B21" s="38" t="inlineStr">
        <is>
          <t>Richard O Oluoch</t>
        </is>
      </c>
      <c r="C21" s="38" t="inlineStr">
        <is>
          <t>547743*1774</t>
        </is>
      </c>
      <c r="D21" s="38" t="inlineStr"/>
      <c r="E21" s="38" t="inlineStr">
        <is>
          <t>0715971967</t>
        </is>
      </c>
      <c r="F21" s="38" t="n"/>
      <c r="G21" s="38">
        <f>IF($I21="",TODAY()-$A21,$I21-$A21)</f>
        <v/>
      </c>
      <c r="H21" s="38" t="inlineStr">
        <is>
          <t>Issued</t>
        </is>
      </c>
      <c r="I21" s="37" t="n">
        <v>46087</v>
      </c>
      <c r="J21" s="38" t="n"/>
      <c r="K21" s="38" t="n"/>
      <c r="L21" s="38">
        <f>IF($G21&gt;=DueDays,"Due",IF($G21&gt;=WarnDays,"Warning",IF($G21&gt;=EarlyDays,"Normal","New")))</f>
        <v/>
      </c>
      <c r="M21" s="38">
        <f>IFS($H21="Held","In Branch",$H21="Issued","Collected",$H21="Destroyed","Destroyed",TRUE,"Pending")</f>
        <v/>
      </c>
      <c r="N21" s="38">
        <f>AND($H21="Held",$G21&gt;=DueDays)</f>
        <v/>
      </c>
      <c r="O21" s="38">
        <f>IF($N21,$G21-DueDays,"")</f>
        <v/>
      </c>
      <c r="P21" s="38">
        <f>COUNTIF('Communication Log'!$C:$C,$C21)</f>
        <v/>
      </c>
      <c r="Q21" s="38">
        <f>IF($H21&lt;&gt;"Held","No",IF(AND($G21&gt;=EarlyDays,OR($J21="",TODAY()-$J21&gt;=ReminderGapDays)),"Yes","No"))</f>
        <v/>
      </c>
    </row>
    <row r="22">
      <c r="A22" s="37" t="n">
        <v>46060</v>
      </c>
      <c r="B22" s="38" t="inlineStr">
        <is>
          <t xml:space="preserve">Jeremiah Rashuta </t>
        </is>
      </c>
      <c r="C22" s="38" t="inlineStr">
        <is>
          <t>547743*7312</t>
        </is>
      </c>
      <c r="D22" s="38" t="inlineStr"/>
      <c r="E22" s="38" t="inlineStr">
        <is>
          <t>0700466345</t>
        </is>
      </c>
      <c r="F22" s="38" t="inlineStr">
        <is>
          <t>jerezykeysere@gmail.com</t>
        </is>
      </c>
      <c r="G22" s="38">
        <f>IF($I22="",TODAY()-$A22,$I22-$A22)</f>
        <v/>
      </c>
      <c r="H22" s="38" t="inlineStr">
        <is>
          <t>Issued</t>
        </is>
      </c>
      <c r="I22" s="37" t="n">
        <v>46104</v>
      </c>
      <c r="J22" s="38" t="n"/>
      <c r="K22" s="38" t="inlineStr">
        <is>
          <t>Nyahururu</t>
        </is>
      </c>
      <c r="L22" s="38">
        <f>IF($G22&gt;=DueDays,"Due",IF($G22&gt;=WarnDays,"Warning",IF($G22&gt;=EarlyDays,"Normal","New")))</f>
        <v/>
      </c>
      <c r="M22" s="38">
        <f>IFS($H22="Held","In Branch",$H22="Issued","Collected",$H22="Destroyed","Destroyed",TRUE,"Pending")</f>
        <v/>
      </c>
      <c r="N22" s="38">
        <f>AND($H22="Held",$G22&gt;=DueDays)</f>
        <v/>
      </c>
      <c r="O22" s="38">
        <f>IF($N22,$G22-DueDays,"")</f>
        <v/>
      </c>
      <c r="P22" s="38">
        <f>COUNTIF('Communication Log'!$C:$C,$C22)</f>
        <v/>
      </c>
      <c r="Q22" s="38">
        <f>IF($H22&lt;&gt;"Held","No",IF(AND($G22&gt;=EarlyDays,OR($J22="",TODAY()-$J22&gt;=ReminderGapDays)),"Yes","No"))</f>
        <v/>
      </c>
    </row>
    <row r="23">
      <c r="A23" s="37" t="n">
        <v>46063</v>
      </c>
      <c r="B23" s="38" t="inlineStr">
        <is>
          <t>Teresia Chege</t>
        </is>
      </c>
      <c r="C23" s="38" t="inlineStr">
        <is>
          <t>547743*8641</t>
        </is>
      </c>
      <c r="D23" s="38" t="inlineStr"/>
      <c r="E23" s="38" t="inlineStr">
        <is>
          <t>0713433957</t>
        </is>
      </c>
      <c r="F23" s="38" t="n"/>
      <c r="G23" s="38">
        <f>IF($I23="",TODAY()-$A23,$I23-$A23)</f>
        <v/>
      </c>
      <c r="H23" s="38" t="inlineStr">
        <is>
          <t>Destroyed</t>
        </is>
      </c>
      <c r="I23" s="38" t="n"/>
      <c r="J23" s="38" t="n"/>
      <c r="K23" s="38" t="inlineStr">
        <is>
          <t xml:space="preserve">Cancelled </t>
        </is>
      </c>
      <c r="L23" s="38">
        <f>IF($G23&gt;=DueDays,"Due",IF($G23&gt;=WarnDays,"Warning",IF($G23&gt;=EarlyDays,"Normal","New")))</f>
        <v/>
      </c>
      <c r="M23" s="38">
        <f>IFS($H23="Held","In Branch",$H23="Issued","Collected",$H23="Destroyed","Destroyed",TRUE,"Pending")</f>
        <v/>
      </c>
      <c r="N23" s="38">
        <f>AND($H23="Held",$G23&gt;=DueDays)</f>
        <v/>
      </c>
      <c r="O23" s="38">
        <f>IF($N23,$G23-DueDays,"")</f>
        <v/>
      </c>
      <c r="P23" s="38">
        <f>COUNTIF('Communication Log'!$C:$C,$C23)</f>
        <v/>
      </c>
      <c r="Q23" s="38">
        <f>IF($H23&lt;&gt;"Held","No",IF(AND($G23&gt;=EarlyDays,OR($J23="",TODAY()-$J23&gt;=ReminderGapDays)),"Yes","No"))</f>
        <v/>
      </c>
    </row>
    <row r="24">
      <c r="A24" s="37" t="n">
        <v>46063</v>
      </c>
      <c r="B24" s="38" t="inlineStr">
        <is>
          <t>Winie Ouma</t>
        </is>
      </c>
      <c r="C24" s="38" t="inlineStr">
        <is>
          <t>547743*2414</t>
        </is>
      </c>
      <c r="D24" s="38" t="inlineStr"/>
      <c r="E24" s="38" t="inlineStr">
        <is>
          <t>0723310720</t>
        </is>
      </c>
      <c r="F24" s="38" t="n"/>
      <c r="G24" s="38">
        <f>IF($I24="",TODAY()-$A24,$I24-$A24)</f>
        <v/>
      </c>
      <c r="H24" s="38" t="inlineStr">
        <is>
          <t>Issued</t>
        </is>
      </c>
      <c r="I24" s="37" t="n">
        <v>46104</v>
      </c>
      <c r="J24" s="38" t="n"/>
      <c r="K24" s="38" t="inlineStr">
        <is>
          <t>Baba Dogo</t>
        </is>
      </c>
      <c r="L24" s="38">
        <f>IF($G24&gt;=DueDays,"Due",IF($G24&gt;=WarnDays,"Warning",IF($G24&gt;=EarlyDays,"Normal","New")))</f>
        <v/>
      </c>
      <c r="M24" s="38">
        <f>IFS($H24="Held","In Branch",$H24="Issued","Collected",$H24="Destroyed","Destroyed",TRUE,"Pending")</f>
        <v/>
      </c>
      <c r="N24" s="38">
        <f>AND($H24="Held",$G24&gt;=DueDays)</f>
        <v/>
      </c>
      <c r="O24" s="38">
        <f>IF($N24,$G24-DueDays,"")</f>
        <v/>
      </c>
      <c r="P24" s="38">
        <f>COUNTIF('Communication Log'!$C:$C,$C24)</f>
        <v/>
      </c>
      <c r="Q24" s="38">
        <f>IF($H24&lt;&gt;"Held","No",IF(AND($G24&gt;=EarlyDays,OR($J24="",TODAY()-$J24&gt;=ReminderGapDays)),"Yes","No"))</f>
        <v/>
      </c>
    </row>
    <row r="25">
      <c r="A25" s="37" t="n">
        <v>46080</v>
      </c>
      <c r="B25" s="38" t="inlineStr">
        <is>
          <t xml:space="preserve">Alexander Kinyua </t>
        </is>
      </c>
      <c r="C25" s="38" t="inlineStr">
        <is>
          <t>547743*6403</t>
        </is>
      </c>
      <c r="D25" s="38" t="inlineStr"/>
      <c r="E25" s="38" t="inlineStr">
        <is>
          <t>0711891983</t>
        </is>
      </c>
      <c r="F25" s="38" t="n"/>
      <c r="G25" s="38">
        <f>IF($I25="",TODAY()-$A25,$I25-$A25)</f>
        <v/>
      </c>
      <c r="H25" s="38" t="inlineStr">
        <is>
          <t>Issued</t>
        </is>
      </c>
      <c r="I25" s="37" t="n">
        <v>46087</v>
      </c>
      <c r="J25" s="38" t="n"/>
      <c r="K25" s="38" t="n"/>
      <c r="L25" s="38">
        <f>IF($G25&gt;=DueDays,"Due",IF($G25&gt;=WarnDays,"Warning",IF($G25&gt;=EarlyDays,"Normal","New")))</f>
        <v/>
      </c>
      <c r="M25" s="38">
        <f>IFS($H25="Held","In Branch",$H25="Issued","Collected",$H25="Destroyed","Destroyed",TRUE,"Pending")</f>
        <v/>
      </c>
      <c r="N25" s="38">
        <f>AND($H25="Held",$G25&gt;=DueDays)</f>
        <v/>
      </c>
      <c r="O25" s="38">
        <f>IF($N25,$G25-DueDays,"")</f>
        <v/>
      </c>
      <c r="P25" s="38">
        <f>COUNTIF('Communication Log'!$C:$C,$C25)</f>
        <v/>
      </c>
      <c r="Q25" s="38">
        <f>IF($H25&lt;&gt;"Held","No",IF(AND($G25&gt;=EarlyDays,OR($J25="",TODAY()-$J25&gt;=ReminderGapDays)),"Yes","No"))</f>
        <v/>
      </c>
    </row>
    <row r="26">
      <c r="A26" s="37" t="n">
        <v>46069</v>
      </c>
      <c r="B26" s="38" t="inlineStr">
        <is>
          <t>Erick Njoki</t>
        </is>
      </c>
      <c r="C26" s="38" t="inlineStr">
        <is>
          <t>547743*0560</t>
        </is>
      </c>
      <c r="D26" s="38" t="inlineStr"/>
      <c r="E26" s="38" t="inlineStr">
        <is>
          <t>0707241732</t>
        </is>
      </c>
      <c r="F26" s="38" t="inlineStr">
        <is>
          <t>ericknjoki004@gmail.com</t>
        </is>
      </c>
      <c r="G26" s="38">
        <f>IF($I26="",TODAY()-$A26,$I26-$A26)</f>
        <v/>
      </c>
      <c r="H26" s="38" t="inlineStr">
        <is>
          <t>Issued</t>
        </is>
      </c>
      <c r="I26" s="37" t="n">
        <v>46104</v>
      </c>
      <c r="J26" s="38" t="n"/>
      <c r="K26" s="38" t="inlineStr">
        <is>
          <t xml:space="preserve">Kitengela </t>
        </is>
      </c>
      <c r="L26" s="38">
        <f>IF($G26&gt;=DueDays,"Due",IF($G26&gt;=WarnDays,"Warning",IF($G26&gt;=EarlyDays,"Normal","New")))</f>
        <v/>
      </c>
      <c r="M26" s="38">
        <f>IFS($H26="Held","In Branch",$H26="Issued","Collected",$H26="Destroyed","Destroyed",TRUE,"Pending")</f>
        <v/>
      </c>
      <c r="N26" s="38">
        <f>AND($H26="Held",$G26&gt;=DueDays)</f>
        <v/>
      </c>
      <c r="O26" s="38">
        <f>IF($N26,$G26-DueDays,"")</f>
        <v/>
      </c>
      <c r="P26" s="38">
        <f>COUNTIF('Communication Log'!$C:$C,$C26)</f>
        <v/>
      </c>
      <c r="Q26" s="38">
        <f>IF($H26&lt;&gt;"Held","No",IF(AND($G26&gt;=EarlyDays,OR($J26="",TODAY()-$J26&gt;=ReminderGapDays)),"Yes","No"))</f>
        <v/>
      </c>
    </row>
    <row r="27">
      <c r="A27" s="37" t="n">
        <v>46088</v>
      </c>
      <c r="B27" s="38" t="inlineStr">
        <is>
          <t xml:space="preserve">Bubby Afande </t>
        </is>
      </c>
      <c r="C27" s="38" t="inlineStr">
        <is>
          <t>547743*8032</t>
        </is>
      </c>
      <c r="D27" s="38" t="inlineStr"/>
      <c r="E27" s="38" t="inlineStr">
        <is>
          <t>0701512441</t>
        </is>
      </c>
      <c r="F27" s="38" t="n"/>
      <c r="G27" s="38">
        <f>IF($I27="",TODAY()-$A27,$I27-$A27)</f>
        <v/>
      </c>
      <c r="H27" s="38" t="inlineStr">
        <is>
          <t>Issued</t>
        </is>
      </c>
      <c r="I27" s="37" t="n">
        <v>46088</v>
      </c>
      <c r="J27" s="38" t="n"/>
      <c r="K27" s="38" t="n"/>
      <c r="L27" s="38">
        <f>IF($G27&gt;=DueDays,"Due",IF($G27&gt;=WarnDays,"Warning",IF($G27&gt;=EarlyDays,"Normal","New")))</f>
        <v/>
      </c>
      <c r="M27" s="38">
        <f>IFS($H27="Held","In Branch",$H27="Issued","Collected",$H27="Destroyed","Destroyed",TRUE,"Pending")</f>
        <v/>
      </c>
      <c r="N27" s="38">
        <f>AND($H27="Held",$G27&gt;=DueDays)</f>
        <v/>
      </c>
      <c r="O27" s="38">
        <f>IF($N27,$G27-DueDays,"")</f>
        <v/>
      </c>
      <c r="P27" s="38">
        <f>COUNTIF('Communication Log'!$C:$C,$C27)</f>
        <v/>
      </c>
      <c r="Q27" s="38">
        <f>IF($H27&lt;&gt;"Held","No",IF(AND($G27&gt;=EarlyDays,OR($J27="",TODAY()-$J27&gt;=ReminderGapDays)),"Yes","No"))</f>
        <v/>
      </c>
    </row>
    <row r="28">
      <c r="A28" s="37" t="n">
        <v>46079</v>
      </c>
      <c r="B28" s="38" t="inlineStr">
        <is>
          <t>David Mwangi</t>
        </is>
      </c>
      <c r="C28" s="38" t="inlineStr">
        <is>
          <t>547743*7689</t>
        </is>
      </c>
      <c r="D28" s="38" t="inlineStr"/>
      <c r="E28" s="38" t="inlineStr">
        <is>
          <t>0791629373</t>
        </is>
      </c>
      <c r="F28" s="38" t="n"/>
      <c r="G28" s="38">
        <f>IF($I28="",TODAY()-$A28,$I28-$A28)</f>
        <v/>
      </c>
      <c r="H28" s="38" t="inlineStr">
        <is>
          <t>Issued</t>
        </is>
      </c>
      <c r="I28" s="37" t="n">
        <v>46090</v>
      </c>
      <c r="J28" s="38" t="n"/>
      <c r="K28" s="38" t="n"/>
      <c r="L28" s="38">
        <f>IF($G28&gt;=DueDays,"Due",IF($G28&gt;=WarnDays,"Warning",IF($G28&gt;=EarlyDays,"Normal","New")))</f>
        <v/>
      </c>
      <c r="M28" s="38">
        <f>IFS($H28="Held","In Branch",$H28="Issued","Collected",$H28="Destroyed","Destroyed",TRUE,"Pending")</f>
        <v/>
      </c>
      <c r="N28" s="38">
        <f>AND($H28="Held",$G28&gt;=DueDays)</f>
        <v/>
      </c>
      <c r="O28" s="38">
        <f>IF($N28,$G28-DueDays,"")</f>
        <v/>
      </c>
      <c r="P28" s="38">
        <f>COUNTIF('Communication Log'!$C:$C,$C28)</f>
        <v/>
      </c>
      <c r="Q28" s="38">
        <f>IF($H28&lt;&gt;"Held","No",IF(AND($G28&gt;=EarlyDays,OR($J28="",TODAY()-$J28&gt;=ReminderGapDays)),"Yes","No"))</f>
        <v/>
      </c>
    </row>
    <row r="29">
      <c r="A29" s="37" t="n">
        <v>46065</v>
      </c>
      <c r="B29" s="38" t="inlineStr">
        <is>
          <t xml:space="preserve">Xuehua Tan </t>
        </is>
      </c>
      <c r="C29" s="38" t="inlineStr">
        <is>
          <t>555458*3724</t>
        </is>
      </c>
      <c r="D29" s="38" t="inlineStr"/>
      <c r="E29" s="38" t="inlineStr">
        <is>
          <t>07113667</t>
        </is>
      </c>
      <c r="F29" s="38" t="n"/>
      <c r="G29" s="38">
        <f>IF($I29="",TODAY()-$A29,$I29-$A29)</f>
        <v/>
      </c>
      <c r="H29" s="38" t="inlineStr">
        <is>
          <t>Issued</t>
        </is>
      </c>
      <c r="I29" s="37" t="n">
        <v>46091</v>
      </c>
      <c r="J29" s="38" t="n"/>
      <c r="K29" s="38" t="n"/>
      <c r="L29" s="38">
        <f>IF($G29&gt;=DueDays,"Due",IF($G29&gt;=WarnDays,"Warning",IF($G29&gt;=EarlyDays,"Normal","New")))</f>
        <v/>
      </c>
      <c r="M29" s="38">
        <f>IFS($H29="Held","In Branch",$H29="Issued","Collected",$H29="Destroyed","Destroyed",TRUE,"Pending")</f>
        <v/>
      </c>
      <c r="N29" s="38">
        <f>AND($H29="Held",$G29&gt;=DueDays)</f>
        <v/>
      </c>
      <c r="O29" s="38">
        <f>IF($N29,$G29-DueDays,"")</f>
        <v/>
      </c>
      <c r="P29" s="38">
        <f>COUNTIF('Communication Log'!$C:$C,$C29)</f>
        <v/>
      </c>
      <c r="Q29" s="38">
        <f>IF($H29&lt;&gt;"Held","No",IF(AND($G29&gt;=EarlyDays,OR($J29="",TODAY()-$J29&gt;=ReminderGapDays)),"Yes","No"))</f>
        <v/>
      </c>
    </row>
    <row r="30">
      <c r="A30" s="37" t="n">
        <v>46088</v>
      </c>
      <c r="B30" s="38" t="inlineStr">
        <is>
          <t xml:space="preserve">Amardeep Satinder </t>
        </is>
      </c>
      <c r="C30" s="38" t="inlineStr">
        <is>
          <t>555458*7346</t>
        </is>
      </c>
      <c r="D30" s="38" t="inlineStr"/>
      <c r="E30" s="38" t="inlineStr">
        <is>
          <t>0734511100</t>
        </is>
      </c>
      <c r="F30" s="38" t="n"/>
      <c r="G30" s="38">
        <f>IF($I30="",TODAY()-$A30,$I30-$A30)</f>
        <v/>
      </c>
      <c r="H30" s="38" t="inlineStr">
        <is>
          <t>Issued</t>
        </is>
      </c>
      <c r="I30" s="37" t="n">
        <v>46094</v>
      </c>
      <c r="J30" s="38" t="n"/>
      <c r="K30" s="38" t="n"/>
      <c r="L30" s="38">
        <f>IF($G30&gt;=DueDays,"Due",IF($G30&gt;=WarnDays,"Warning",IF($G30&gt;=EarlyDays,"Normal","New")))</f>
        <v/>
      </c>
      <c r="M30" s="38">
        <f>IFS($H30="Held","In Branch",$H30="Issued","Collected",$H30="Destroyed","Destroyed",TRUE,"Pending")</f>
        <v/>
      </c>
      <c r="N30" s="38">
        <f>AND($H30="Held",$G30&gt;=DueDays)</f>
        <v/>
      </c>
      <c r="O30" s="38">
        <f>IF($N30,$G30-DueDays,"")</f>
        <v/>
      </c>
      <c r="P30" s="38">
        <f>COUNTIF('Communication Log'!$C:$C,$C30)</f>
        <v/>
      </c>
      <c r="Q30" s="38">
        <f>IF($H30&lt;&gt;"Held","No",IF(AND($G30&gt;=EarlyDays,OR($J30="",TODAY()-$J30&gt;=ReminderGapDays)),"Yes","No"))</f>
        <v/>
      </c>
    </row>
    <row r="31">
      <c r="A31" s="37" t="n">
        <v>46088</v>
      </c>
      <c r="B31" s="38" t="inlineStr">
        <is>
          <t xml:space="preserve">Hafsa Abdikeir </t>
        </is>
      </c>
      <c r="C31" s="38" t="inlineStr">
        <is>
          <t>527775*3561</t>
        </is>
      </c>
      <c r="D31" s="38" t="inlineStr"/>
      <c r="E31" s="38" t="inlineStr">
        <is>
          <t>0722732149</t>
        </is>
      </c>
      <c r="F31" s="38" t="n"/>
      <c r="G31" s="38">
        <f>IF($I31="",TODAY()-$A31,$I31-$A31)</f>
        <v/>
      </c>
      <c r="H31" s="38" t="inlineStr">
        <is>
          <t>Issued</t>
        </is>
      </c>
      <c r="I31" s="37" t="n">
        <v>46094</v>
      </c>
      <c r="J31" s="38" t="n"/>
      <c r="K31" s="38" t="n"/>
      <c r="L31" s="38">
        <f>IF($G31&gt;=DueDays,"Due",IF($G31&gt;=WarnDays,"Warning",IF($G31&gt;=EarlyDays,"Normal","New")))</f>
        <v/>
      </c>
      <c r="M31" s="38">
        <f>IFS($H31="Held","In Branch",$H31="Issued","Collected",$H31="Destroyed","Destroyed",TRUE,"Pending")</f>
        <v/>
      </c>
      <c r="N31" s="38">
        <f>AND($H31="Held",$G31&gt;=DueDays)</f>
        <v/>
      </c>
      <c r="O31" s="38">
        <f>IF($N31,$G31-DueDays,"")</f>
        <v/>
      </c>
      <c r="P31" s="38">
        <f>COUNTIF('Communication Log'!$C:$C,$C31)</f>
        <v/>
      </c>
      <c r="Q31" s="38">
        <f>IF($H31&lt;&gt;"Held","No",IF(AND($G31&gt;=EarlyDays,OR($J31="",TODAY()-$J31&gt;=ReminderGapDays)),"Yes","No"))</f>
        <v/>
      </c>
    </row>
    <row r="32">
      <c r="A32" s="37" t="n">
        <v>46088</v>
      </c>
      <c r="B32" s="38" t="inlineStr">
        <is>
          <t>Meimuna Abdikeir</t>
        </is>
      </c>
      <c r="C32" s="38" t="inlineStr">
        <is>
          <t>527775*7128</t>
        </is>
      </c>
      <c r="D32" s="38" t="inlineStr"/>
      <c r="E32" s="38" t="inlineStr">
        <is>
          <t>0722504637</t>
        </is>
      </c>
      <c r="F32" s="38" t="n"/>
      <c r="G32" s="38">
        <f>IF($I32="",TODAY()-$A32,$I32-$A32)</f>
        <v/>
      </c>
      <c r="H32" s="38" t="inlineStr">
        <is>
          <t>Issued</t>
        </is>
      </c>
      <c r="I32" s="37" t="n">
        <v>46094</v>
      </c>
      <c r="J32" s="38" t="n"/>
      <c r="K32" s="38" t="n"/>
      <c r="L32" s="38">
        <f>IF($G32&gt;=DueDays,"Due",IF($G32&gt;=WarnDays,"Warning",IF($G32&gt;=EarlyDays,"Normal","New")))</f>
        <v/>
      </c>
      <c r="M32" s="38">
        <f>IFS($H32="Held","In Branch",$H32="Issued","Collected",$H32="Destroyed","Destroyed",TRUE,"Pending")</f>
        <v/>
      </c>
      <c r="N32" s="38">
        <f>AND($H32="Held",$G32&gt;=DueDays)</f>
        <v/>
      </c>
      <c r="O32" s="38">
        <f>IF($N32,$G32-DueDays,"")</f>
        <v/>
      </c>
      <c r="P32" s="38">
        <f>COUNTIF('Communication Log'!$C:$C,$C32)</f>
        <v/>
      </c>
      <c r="Q32" s="38">
        <f>IF($H32&lt;&gt;"Held","No",IF(AND($G32&gt;=EarlyDays,OR($J32="",TODAY()-$J32&gt;=ReminderGapDays)),"Yes","No"))</f>
        <v/>
      </c>
    </row>
    <row r="33">
      <c r="A33" s="37" t="n">
        <v>46077</v>
      </c>
      <c r="B33" s="38" t="inlineStr">
        <is>
          <t>Michael Obatt</t>
        </is>
      </c>
      <c r="C33" s="38" t="inlineStr">
        <is>
          <t>547743*7683</t>
        </is>
      </c>
      <c r="D33" s="38" t="inlineStr"/>
      <c r="E33" s="38" t="inlineStr">
        <is>
          <t>0708088389</t>
        </is>
      </c>
      <c r="F33" s="38" t="inlineStr">
        <is>
          <t>michaeljairo33@gmail.com</t>
        </is>
      </c>
      <c r="G33" s="38">
        <f>IF($I33="",TODAY()-$A33,$I33-$A33)</f>
        <v/>
      </c>
      <c r="H33" s="38" t="inlineStr">
        <is>
          <t>Pend</t>
        </is>
      </c>
      <c r="I33" s="38" t="n"/>
      <c r="J33" s="38" t="n"/>
      <c r="K33" s="38" t="n"/>
      <c r="L33" s="38">
        <f>IF($G33&gt;=DueDays,"Due",IF($G33&gt;=WarnDays,"Warning",IF($G33&gt;=EarlyDays,"Normal","New")))</f>
        <v/>
      </c>
      <c r="M33" s="38">
        <f>IFS($H33="Held","In Branch",$H33="Issued","Collected",$H33="Destroyed","Destroyed",TRUE,"Pending")</f>
        <v/>
      </c>
      <c r="N33" s="38">
        <f>AND($H33="Held",$G33&gt;=DueDays)</f>
        <v/>
      </c>
      <c r="O33" s="38">
        <f>IF($N33,$G33-DueDays,"")</f>
        <v/>
      </c>
      <c r="P33" s="38">
        <f>COUNTIF('Communication Log'!$C:$C,$C33)</f>
        <v/>
      </c>
      <c r="Q33" s="38">
        <f>IF($H33&lt;&gt;"Held","No",IF(AND($G33&gt;=EarlyDays,OR($J33="",TODAY()-$J33&gt;=ReminderGapDays)),"Yes","No"))</f>
        <v/>
      </c>
    </row>
    <row r="34">
      <c r="A34" s="37" t="n">
        <v>46050</v>
      </c>
      <c r="B34" s="38" t="inlineStr">
        <is>
          <t>Jallen Dola</t>
        </is>
      </c>
      <c r="C34" s="38" t="inlineStr">
        <is>
          <t>547743*6107</t>
        </is>
      </c>
      <c r="D34" s="38" t="inlineStr"/>
      <c r="E34" s="38" t="inlineStr">
        <is>
          <t>0720845628</t>
        </is>
      </c>
      <c r="F34" s="38" t="inlineStr">
        <is>
          <t>jadencoenterprises@gmail.com</t>
        </is>
      </c>
      <c r="G34" s="38">
        <f>IF($I34="",TODAY()-$A34,$I34-$A34)</f>
        <v/>
      </c>
      <c r="H34" s="38" t="inlineStr">
        <is>
          <t>Issued</t>
        </is>
      </c>
      <c r="I34" s="37" t="n">
        <v>46097</v>
      </c>
      <c r="J34" s="38" t="n"/>
      <c r="K34" s="38" t="n"/>
      <c r="L34" s="38">
        <f>IF($G34&gt;=DueDays,"Due",IF($G34&gt;=WarnDays,"Warning",IF($G34&gt;=EarlyDays,"Normal","New")))</f>
        <v/>
      </c>
      <c r="M34" s="38">
        <f>IFS($H34="Held","In Branch",$H34="Issued","Collected",$H34="Destroyed","Destroyed",TRUE,"Pending")</f>
        <v/>
      </c>
      <c r="N34" s="38">
        <f>AND($H34="Held",$G34&gt;=DueDays)</f>
        <v/>
      </c>
      <c r="O34" s="38">
        <f>IF($N34,$G34-DueDays,"")</f>
        <v/>
      </c>
      <c r="P34" s="38">
        <f>COUNTIF('Communication Log'!$C:$C,$C34)</f>
        <v/>
      </c>
      <c r="Q34" s="38">
        <f>IF($H34&lt;&gt;"Held","No",IF(AND($G34&gt;=EarlyDays,OR($J34="",TODAY()-$J34&gt;=ReminderGapDays)),"Yes","No"))</f>
        <v/>
      </c>
    </row>
    <row r="35">
      <c r="A35" s="37" t="n">
        <v>46079</v>
      </c>
      <c r="B35" s="38" t="inlineStr">
        <is>
          <t>Asamuel Motuku</t>
        </is>
      </c>
      <c r="C35" s="38" t="inlineStr">
        <is>
          <t>547743*0029</t>
        </is>
      </c>
      <c r="D35" s="38" t="inlineStr"/>
      <c r="E35" s="38" t="inlineStr">
        <is>
          <t>0724010183</t>
        </is>
      </c>
      <c r="F35" s="38" t="inlineStr">
        <is>
          <t>mutukusamuel556@gmail.com</t>
        </is>
      </c>
      <c r="G35" s="38">
        <f>IF($I35="",TODAY()-$A35,$I35-$A35)</f>
        <v/>
      </c>
      <c r="H35" s="38" t="inlineStr">
        <is>
          <t>Destroyed</t>
        </is>
      </c>
      <c r="I35" s="38" t="n"/>
      <c r="J35" s="38" t="n"/>
      <c r="K35" s="38" t="inlineStr">
        <is>
          <t>To destroy, incorrect name</t>
        </is>
      </c>
      <c r="L35" s="38">
        <f>IF($G35&gt;=DueDays,"Due",IF($G35&gt;=WarnDays,"Warning",IF($G35&gt;=EarlyDays,"Normal","New")))</f>
        <v/>
      </c>
      <c r="M35" s="38">
        <f>IFS($H35="Held","In Branch",$H35="Issued","Collected",$H35="Destroyed","Destroyed",TRUE,"Pending")</f>
        <v/>
      </c>
      <c r="N35" s="38">
        <f>AND($H35="Held",$G35&gt;=DueDays)</f>
        <v/>
      </c>
      <c r="O35" s="38">
        <f>IF($N35,$G35-DueDays,"")</f>
        <v/>
      </c>
      <c r="P35" s="38">
        <f>COUNTIF('Communication Log'!$C:$C,$C35)</f>
        <v/>
      </c>
      <c r="Q35" s="38">
        <f>IF($H35&lt;&gt;"Held","No",IF(AND($G35&gt;=EarlyDays,OR($J35="",TODAY()-$J35&gt;=ReminderGapDays)),"Yes","No"))</f>
        <v/>
      </c>
    </row>
    <row r="36">
      <c r="A36" s="37" t="n">
        <v>46098</v>
      </c>
      <c r="B36" s="38" t="inlineStr">
        <is>
          <t xml:space="preserve">Salima A Tejani </t>
        </is>
      </c>
      <c r="C36" s="38" t="inlineStr">
        <is>
          <t>558252*5770</t>
        </is>
      </c>
      <c r="D36" s="38" t="inlineStr"/>
      <c r="E36" s="38" t="inlineStr">
        <is>
          <t>0733786161</t>
        </is>
      </c>
      <c r="F36" s="38" t="n"/>
      <c r="G36" s="38">
        <f>IF($I36="",TODAY()-$A36,$I36-$A36)</f>
        <v/>
      </c>
      <c r="H36" s="38" t="inlineStr">
        <is>
          <t>Issued</t>
        </is>
      </c>
      <c r="I36" s="37" t="n">
        <v>46098</v>
      </c>
      <c r="J36" s="38" t="n"/>
      <c r="K36" s="38" t="n"/>
      <c r="L36" s="38">
        <f>IF($G36&gt;=DueDays,"Due",IF($G36&gt;=WarnDays,"Warning",IF($G36&gt;=EarlyDays,"Normal","New")))</f>
        <v/>
      </c>
      <c r="M36" s="38">
        <f>IFS($H36="Held","In Branch",$H36="Issued","Collected",$H36="Destroyed","Destroyed",TRUE,"Pending")</f>
        <v/>
      </c>
      <c r="N36" s="38">
        <f>AND($H36="Held",$G36&gt;=DueDays)</f>
        <v/>
      </c>
      <c r="O36" s="38">
        <f>IF($N36,$G36-DueDays,"")</f>
        <v/>
      </c>
      <c r="P36" s="38">
        <f>COUNTIF('Communication Log'!$C:$C,$C36)</f>
        <v/>
      </c>
      <c r="Q36" s="38">
        <f>IF($H36&lt;&gt;"Held","No",IF(AND($G36&gt;=EarlyDays,OR($J36="",TODAY()-$J36&gt;=ReminderGapDays)),"Yes","No"))</f>
        <v/>
      </c>
    </row>
    <row r="37">
      <c r="A37" s="37" t="n">
        <v>46097</v>
      </c>
      <c r="B37" s="38" t="inlineStr">
        <is>
          <t xml:space="preserve">Nicholas Mutinda Kitu </t>
        </is>
      </c>
      <c r="C37" s="38" t="inlineStr">
        <is>
          <t>547743*2133</t>
        </is>
      </c>
      <c r="D37" s="38" t="inlineStr"/>
      <c r="E37" s="38" t="inlineStr">
        <is>
          <t>0700402682</t>
        </is>
      </c>
      <c r="F37" s="38" t="n"/>
      <c r="G37" s="38">
        <f>IF($I37="",TODAY()-$A37,$I37-$A37)</f>
        <v/>
      </c>
      <c r="H37" s="38" t="inlineStr">
        <is>
          <t>Issued</t>
        </is>
      </c>
      <c r="I37" s="37" t="n">
        <v>46098</v>
      </c>
      <c r="J37" s="38" t="n"/>
      <c r="K37" s="38" t="n"/>
      <c r="L37" s="38">
        <f>IF($G37&gt;=DueDays,"Due",IF($G37&gt;=WarnDays,"Warning",IF($G37&gt;=EarlyDays,"Normal","New")))</f>
        <v/>
      </c>
      <c r="M37" s="38">
        <f>IFS($H37="Held","In Branch",$H37="Issued","Collected",$H37="Destroyed","Destroyed",TRUE,"Pending")</f>
        <v/>
      </c>
      <c r="N37" s="38">
        <f>AND($H37="Held",$G37&gt;=DueDays)</f>
        <v/>
      </c>
      <c r="O37" s="38">
        <f>IF($N37,$G37-DueDays,"")</f>
        <v/>
      </c>
      <c r="P37" s="38">
        <f>COUNTIF('Communication Log'!$C:$C,$C37)</f>
        <v/>
      </c>
      <c r="Q37" s="38">
        <f>IF($H37&lt;&gt;"Held","No",IF(AND($G37&gt;=EarlyDays,OR($J37="",TODAY()-$J37&gt;=ReminderGapDays)),"Yes","No"))</f>
        <v/>
      </c>
    </row>
    <row r="38">
      <c r="A38" s="37" t="n">
        <v>46088</v>
      </c>
      <c r="B38" s="38" t="inlineStr">
        <is>
          <t xml:space="preserve">Ann Wanjiku Thuo </t>
        </is>
      </c>
      <c r="C38" s="38" t="inlineStr">
        <is>
          <t>547743*0324</t>
        </is>
      </c>
      <c r="D38" s="38" t="inlineStr"/>
      <c r="E38" s="38" t="inlineStr">
        <is>
          <t>0704626352</t>
        </is>
      </c>
      <c r="F38" s="38" t="n"/>
      <c r="G38" s="38">
        <f>IF($I38="",TODAY()-$A38,$I38-$A38)</f>
        <v/>
      </c>
      <c r="H38" s="38" t="inlineStr">
        <is>
          <t>Issued</t>
        </is>
      </c>
      <c r="I38" s="37" t="n">
        <v>46104</v>
      </c>
      <c r="J38" s="38" t="n"/>
      <c r="K38" s="38" t="inlineStr">
        <is>
          <t>Kawangware</t>
        </is>
      </c>
      <c r="L38" s="38">
        <f>IF($G38&gt;=DueDays,"Due",IF($G38&gt;=WarnDays,"Warning",IF($G38&gt;=EarlyDays,"Normal","New")))</f>
        <v/>
      </c>
      <c r="M38" s="38">
        <f>IFS($H38="Held","In Branch",$H38="Issued","Collected",$H38="Destroyed","Destroyed",TRUE,"Pending")</f>
        <v/>
      </c>
      <c r="N38" s="38">
        <f>AND($H38="Held",$G38&gt;=DueDays)</f>
        <v/>
      </c>
      <c r="O38" s="38">
        <f>IF($N38,$G38-DueDays,"")</f>
        <v/>
      </c>
      <c r="P38" s="38">
        <f>COUNTIF('Communication Log'!$C:$C,$C38)</f>
        <v/>
      </c>
      <c r="Q38" s="38">
        <f>IF($H38&lt;&gt;"Held","No",IF(AND($G38&gt;=EarlyDays,OR($J38="",TODAY()-$J38&gt;=ReminderGapDays)),"Yes","No"))</f>
        <v/>
      </c>
    </row>
    <row r="39">
      <c r="A39" s="37" t="n">
        <v>46091</v>
      </c>
      <c r="B39" s="38" t="inlineStr">
        <is>
          <t xml:space="preserve">Ken Kaboori </t>
        </is>
      </c>
      <c r="C39" s="38" t="inlineStr">
        <is>
          <t>547743*7308</t>
        </is>
      </c>
      <c r="D39" s="38" t="inlineStr"/>
      <c r="E39" s="38" t="inlineStr">
        <is>
          <t>0726417285</t>
        </is>
      </c>
      <c r="F39" s="38" t="inlineStr">
        <is>
          <t>kenbundikaboori@gmail.com</t>
        </is>
      </c>
      <c r="G39" s="38">
        <f>IF($I39="",TODAY()-$A39,$I39-$A39)</f>
        <v/>
      </c>
      <c r="H39" s="38" t="inlineStr">
        <is>
          <t>Issued</t>
        </is>
      </c>
      <c r="I39" s="37" t="n">
        <v>46099</v>
      </c>
      <c r="J39" s="37" t="n">
        <v>46099.71084490741</v>
      </c>
      <c r="K39" s="38" t="n"/>
      <c r="L39" s="38">
        <f>IF($G39&gt;=DueDays,"Due",IF($G39&gt;=WarnDays,"Warning",IF($G39&gt;=EarlyDays,"Normal","New")))</f>
        <v/>
      </c>
      <c r="M39" s="38">
        <f>IFS($H39="Held","In Branch",$H39="Issued","Collected",$H39="Destroyed","Destroyed",TRUE,"Pending")</f>
        <v/>
      </c>
      <c r="N39" s="38">
        <f>AND($H39="Held",$G39&gt;=DueDays)</f>
        <v/>
      </c>
      <c r="O39" s="38">
        <f>IF($N39,$G39-DueDays,"")</f>
        <v/>
      </c>
      <c r="P39" s="38">
        <f>COUNTIF('Communication Log'!$C:$C,$C39)</f>
        <v/>
      </c>
      <c r="Q39" s="38">
        <f>IF($H39&lt;&gt;"Held","No",IF(AND($G39&gt;=EarlyDays,OR($J39="",TODAY()-$J39&gt;=ReminderGapDays)),"Yes","No"))</f>
        <v/>
      </c>
    </row>
    <row r="40">
      <c r="A40" s="37" t="n">
        <v>46091</v>
      </c>
      <c r="B40" s="38" t="inlineStr">
        <is>
          <t xml:space="preserve">Chintan Gohel </t>
        </is>
      </c>
      <c r="C40" s="38" t="inlineStr">
        <is>
          <t>547743*2688</t>
        </is>
      </c>
      <c r="D40" s="38" t="inlineStr"/>
      <c r="E40" s="38" t="inlineStr">
        <is>
          <t>0713662894</t>
        </is>
      </c>
      <c r="F40" s="38" t="inlineStr">
        <is>
          <t>chintangohel@live.com</t>
        </is>
      </c>
      <c r="G40" s="38">
        <f>IF($I40="",TODAY()-$A40,$I40-$A40)</f>
        <v/>
      </c>
      <c r="H40" s="38" t="inlineStr">
        <is>
          <t>Issued</t>
        </is>
      </c>
      <c r="I40" s="37" t="n">
        <v>46113</v>
      </c>
      <c r="J40" s="37" t="n">
        <v>46099.71084490741</v>
      </c>
      <c r="K40" s="38" t="inlineStr">
        <is>
          <t>G.Way</t>
        </is>
      </c>
      <c r="L40" s="38">
        <f>IF($G40&gt;=DueDays,"Due",IF($G40&gt;=WarnDays,"Warning",IF($G40&gt;=EarlyDays,"Normal","New")))</f>
        <v/>
      </c>
      <c r="M40" s="38">
        <f>IFS($H40="Held","In Branch",$H40="Issued","Collected",$H40="Destroyed","Destroyed",TRUE,"Pending")</f>
        <v/>
      </c>
      <c r="N40" s="38">
        <f>AND($H40="Held",$G40&gt;=DueDays)</f>
        <v/>
      </c>
      <c r="O40" s="38">
        <f>IF($N40,$G40-DueDays,"")</f>
        <v/>
      </c>
      <c r="P40" s="38">
        <f>COUNTIF('Communication Log'!$C:$C,$C40)</f>
        <v/>
      </c>
      <c r="Q40" s="38">
        <f>IF($H40&lt;&gt;"Held","No",IF(AND($G40&gt;=EarlyDays,OR($J40="",TODAY()-$J40&gt;=ReminderGapDays)),"Yes","No"))</f>
        <v/>
      </c>
    </row>
    <row r="41">
      <c r="A41" s="37" t="n">
        <v>46091</v>
      </c>
      <c r="B41" s="38" t="inlineStr">
        <is>
          <t xml:space="preserve">Collins Wangui </t>
        </is>
      </c>
      <c r="C41" s="38" t="inlineStr">
        <is>
          <t>547743*7056</t>
        </is>
      </c>
      <c r="D41" s="38" t="inlineStr"/>
      <c r="E41" s="38" t="inlineStr">
        <is>
          <t>0741711939</t>
        </is>
      </c>
      <c r="F41" s="38" t="n"/>
      <c r="G41" s="38">
        <f>IF($I41="",TODAY()-$A41,$I41-$A41)</f>
        <v/>
      </c>
      <c r="H41" s="38" t="inlineStr">
        <is>
          <t>Pend</t>
        </is>
      </c>
      <c r="I41" s="38" t="n"/>
      <c r="J41" s="38" t="n"/>
      <c r="K41" s="38" t="n"/>
      <c r="L41" s="38">
        <f>IF($G41&gt;=DueDays,"Due",IF($G41&gt;=WarnDays,"Warning",IF($G41&gt;=EarlyDays,"Normal","New")))</f>
        <v/>
      </c>
      <c r="M41" s="38">
        <f>IFS($H41="Held","In Branch",$H41="Issued","Collected",$H41="Destroyed","Destroyed",TRUE,"Pending")</f>
        <v/>
      </c>
      <c r="N41" s="38">
        <f>AND($H41="Held",$G41&gt;=DueDays)</f>
        <v/>
      </c>
      <c r="O41" s="38">
        <f>IF($N41,$G41-DueDays,"")</f>
        <v/>
      </c>
      <c r="P41" s="38">
        <f>COUNTIF('Communication Log'!$C:$C,$C41)</f>
        <v/>
      </c>
      <c r="Q41" s="38">
        <f>IF($H41&lt;&gt;"Held","No",IF(AND($G41&gt;=EarlyDays,OR($J41="",TODAY()-$J41&gt;=ReminderGapDays)),"Yes","No"))</f>
        <v/>
      </c>
    </row>
    <row r="42">
      <c r="A42" s="37" t="n">
        <v>46029</v>
      </c>
      <c r="B42" s="38" t="inlineStr">
        <is>
          <t xml:space="preserve">Lesly Triza </t>
        </is>
      </c>
      <c r="C42" s="38" t="inlineStr">
        <is>
          <t>547743*2051</t>
        </is>
      </c>
      <c r="D42" s="38" t="inlineStr"/>
      <c r="E42" s="38" t="inlineStr">
        <is>
          <t>0769249880</t>
        </is>
      </c>
      <c r="F42" s="38" t="inlineStr">
        <is>
          <t>ERTBLA2011@GMAIL.COM</t>
        </is>
      </c>
      <c r="G42" s="38">
        <f>IF($I42="",TODAY()-$A42,$I42-$A42)</f>
        <v/>
      </c>
      <c r="H42" s="38" t="inlineStr">
        <is>
          <t>Issued</t>
        </is>
      </c>
      <c r="I42" s="37" t="n">
        <v>46100</v>
      </c>
      <c r="J42" s="37" t="n">
        <v>46099.71081018518</v>
      </c>
      <c r="K42" s="38" t="n"/>
      <c r="L42" s="38">
        <f>IF($G42&gt;=DueDays,"Due",IF($G42&gt;=WarnDays,"Warning",IF($G42&gt;=EarlyDays,"Normal","New")))</f>
        <v/>
      </c>
      <c r="M42" s="38">
        <f>IFS($H42="Held","In Branch",$H42="Issued","Collected",$H42="Destroyed","Destroyed",TRUE,"Pending")</f>
        <v/>
      </c>
      <c r="N42" s="38">
        <f>AND($H42="Held",$G42&gt;=DueDays)</f>
        <v/>
      </c>
      <c r="O42" s="38">
        <f>IF($N42,$G42-DueDays,"")</f>
        <v/>
      </c>
      <c r="P42" s="38">
        <f>COUNTIF('Communication Log'!$C:$C,$C42)</f>
        <v/>
      </c>
      <c r="Q42" s="38">
        <f>IF($H42&lt;&gt;"Held","No",IF(AND($G42&gt;=EarlyDays,OR($J42="",TODAY()-$J42&gt;=ReminderGapDays)),"Yes","No"))</f>
        <v/>
      </c>
    </row>
    <row r="43">
      <c r="A43" s="37" t="n">
        <v>46035</v>
      </c>
      <c r="B43" s="38" t="inlineStr">
        <is>
          <t>Ibrahim Noorani</t>
        </is>
      </c>
      <c r="C43" s="38" t="inlineStr">
        <is>
          <t>547743*9020</t>
        </is>
      </c>
      <c r="D43" s="38" t="inlineStr"/>
      <c r="E43" s="38" t="inlineStr">
        <is>
          <t>0773020630</t>
        </is>
      </c>
      <c r="F43" s="38" t="inlineStr">
        <is>
          <t>ebrahimfaruk21@gmail.com</t>
        </is>
      </c>
      <c r="G43" s="38">
        <f>IF($I43="",TODAY()-$A43,$I43-$A43)</f>
        <v/>
      </c>
      <c r="H43" s="38" t="inlineStr">
        <is>
          <t>Issued</t>
        </is>
      </c>
      <c r="I43" s="37" t="n">
        <v>46102</v>
      </c>
      <c r="J43" s="37" t="n">
        <v>46099.71081018518</v>
      </c>
      <c r="K43" s="38" t="n"/>
      <c r="L43" s="38">
        <f>IF($G43&gt;=DueDays,"Due",IF($G43&gt;=WarnDays,"Warning",IF($G43&gt;=EarlyDays,"Normal","New")))</f>
        <v/>
      </c>
      <c r="M43" s="38">
        <f>IFS($H43="Held","In Branch",$H43="Issued","Collected",$H43="Destroyed","Destroyed",TRUE,"Pending")</f>
        <v/>
      </c>
      <c r="N43" s="38">
        <f>AND($H43="Held",$G43&gt;=DueDays)</f>
        <v/>
      </c>
      <c r="O43" s="38">
        <f>IF($N43,$G43-DueDays,"")</f>
        <v/>
      </c>
      <c r="P43" s="38">
        <f>COUNTIF('Communication Log'!$C:$C,$C43)</f>
        <v/>
      </c>
      <c r="Q43" s="38">
        <f>IF($H43&lt;&gt;"Held","No",IF(AND($G43&gt;=EarlyDays,OR($J43="",TODAY()-$J43&gt;=ReminderGapDays)),"Yes","No"))</f>
        <v/>
      </c>
    </row>
    <row r="44">
      <c r="A44" s="37" t="n">
        <v>46053</v>
      </c>
      <c r="B44" s="38" t="inlineStr">
        <is>
          <t xml:space="preserve">Nanji Vekariya </t>
        </is>
      </c>
      <c r="C44" s="38" t="inlineStr">
        <is>
          <t>547743*2906</t>
        </is>
      </c>
      <c r="D44" s="38" t="inlineStr"/>
      <c r="E44" s="38" t="inlineStr">
        <is>
          <t>0734763944</t>
        </is>
      </c>
      <c r="F44" s="38" t="n"/>
      <c r="G44" s="38">
        <f>IF($I44="",TODAY()-$A44,$I44-$A44)</f>
        <v/>
      </c>
      <c r="H44" s="38" t="inlineStr">
        <is>
          <t>Issued</t>
        </is>
      </c>
      <c r="I44" s="37" t="n">
        <v>46102</v>
      </c>
      <c r="J44" s="38" t="n"/>
      <c r="K44" s="38" t="n"/>
      <c r="L44" s="38">
        <f>IF($G44&gt;=DueDays,"Due",IF($G44&gt;=WarnDays,"Warning",IF($G44&gt;=EarlyDays,"Normal","New")))</f>
        <v/>
      </c>
      <c r="M44" s="38">
        <f>IFS($H44="Held","In Branch",$H44="Issued","Collected",$H44="Destroyed","Destroyed",TRUE,"Pending")</f>
        <v/>
      </c>
      <c r="N44" s="38">
        <f>AND($H44="Held",$G44&gt;=DueDays)</f>
        <v/>
      </c>
      <c r="O44" s="38">
        <f>IF($N44,$G44-DueDays,"")</f>
        <v/>
      </c>
      <c r="P44" s="38">
        <f>COUNTIF('Communication Log'!$C:$C,$C44)</f>
        <v/>
      </c>
      <c r="Q44" s="38">
        <f>IF($H44&lt;&gt;"Held","No",IF(AND($G44&gt;=EarlyDays,OR($J44="",TODAY()-$J44&gt;=ReminderGapDays)),"Yes","No"))</f>
        <v/>
      </c>
    </row>
    <row r="45">
      <c r="A45" s="37" t="n">
        <v>46097</v>
      </c>
      <c r="B45" s="38" t="inlineStr">
        <is>
          <t>Beatrice Gitindi</t>
        </is>
      </c>
      <c r="C45" s="38" t="inlineStr">
        <is>
          <t>547743*2572</t>
        </is>
      </c>
      <c r="D45" s="38" t="inlineStr"/>
      <c r="E45" s="38" t="inlineStr">
        <is>
          <t>0727610404</t>
        </is>
      </c>
      <c r="F45" s="38" t="inlineStr">
        <is>
          <t>bgitindi@gmail.com</t>
        </is>
      </c>
      <c r="G45" s="38">
        <f>IF($I45="",TODAY()-$A45,$I45-$A45)</f>
        <v/>
      </c>
      <c r="H45" s="38" t="inlineStr">
        <is>
          <t>Issued</t>
        </is>
      </c>
      <c r="I45" s="37" t="n">
        <v>46102</v>
      </c>
      <c r="J45" s="37" t="n">
        <v>46099.71084490741</v>
      </c>
      <c r="K45" s="38" t="n"/>
      <c r="L45" s="38">
        <f>IF($G45&gt;=DueDays,"Due",IF($G45&gt;=WarnDays,"Warning",IF($G45&gt;=EarlyDays,"Normal","New")))</f>
        <v/>
      </c>
      <c r="M45" s="38">
        <f>IFS($H45="Held","In Branch",$H45="Issued","Collected",$H45="Destroyed","Destroyed",TRUE,"Pending")</f>
        <v/>
      </c>
      <c r="N45" s="38">
        <f>AND($H45="Held",$G45&gt;=DueDays)</f>
        <v/>
      </c>
      <c r="O45" s="38">
        <f>IF($N45,$G45-DueDays,"")</f>
        <v/>
      </c>
      <c r="P45" s="38">
        <f>COUNTIF('Communication Log'!$C:$C,$C45)</f>
        <v/>
      </c>
      <c r="Q45" s="38">
        <f>IF($H45&lt;&gt;"Held","No",IF(AND($G45&gt;=EarlyDays,OR($J45="",TODAY()-$J45&gt;=ReminderGapDays)),"Yes","No"))</f>
        <v/>
      </c>
    </row>
    <row r="46">
      <c r="A46" s="37" t="n">
        <v>46102</v>
      </c>
      <c r="B46" s="38" t="inlineStr">
        <is>
          <t xml:space="preserve">Andeas Henricus Nuij </t>
        </is>
      </c>
      <c r="C46" s="38" t="inlineStr">
        <is>
          <t>547743*0292</t>
        </is>
      </c>
      <c r="D46" s="38" t="inlineStr"/>
      <c r="E46" s="38" t="inlineStr">
        <is>
          <t>0722942522</t>
        </is>
      </c>
      <c r="F46" s="38" t="n"/>
      <c r="G46" s="38">
        <f>IF($I46="",TODAY()-$A46,$I46-$A46)</f>
        <v/>
      </c>
      <c r="H46" s="38" t="inlineStr">
        <is>
          <t>Issued</t>
        </is>
      </c>
      <c r="I46" s="37" t="n">
        <v>46104</v>
      </c>
      <c r="J46" s="38" t="n"/>
      <c r="K46" s="38" t="inlineStr">
        <is>
          <t>Naivasha</t>
        </is>
      </c>
      <c r="L46" s="38">
        <f>IF($G46&gt;=DueDays,"Due",IF($G46&gt;=WarnDays,"Warning",IF($G46&gt;=EarlyDays,"Normal","New")))</f>
        <v/>
      </c>
      <c r="M46" s="38">
        <f>IFS($H46="Held","In Branch",$H46="Issued","Collected",$H46="Destroyed","Destroyed",TRUE,"Pending")</f>
        <v/>
      </c>
      <c r="N46" s="38">
        <f>AND($H46="Held",$G46&gt;=DueDays)</f>
        <v/>
      </c>
      <c r="O46" s="38">
        <f>IF($N46,$G46-DueDays,"")</f>
        <v/>
      </c>
      <c r="P46" s="38">
        <f>COUNTIF('Communication Log'!$C:$C,$C46)</f>
        <v/>
      </c>
      <c r="Q46" s="38">
        <f>IF($H46&lt;&gt;"Held","No",IF(AND($G46&gt;=EarlyDays,OR($J46="",TODAY()-$J46&gt;=ReminderGapDays)),"Yes","No"))</f>
        <v/>
      </c>
    </row>
    <row r="47">
      <c r="A47" s="37" t="n">
        <v>46109</v>
      </c>
      <c r="B47" s="38" t="inlineStr">
        <is>
          <t xml:space="preserve">Dennis Ongaki Ragogi </t>
        </is>
      </c>
      <c r="C47" s="38" t="inlineStr">
        <is>
          <t>547743*3929</t>
        </is>
      </c>
      <c r="D47" s="38" t="inlineStr"/>
      <c r="E47" s="38" t="inlineStr">
        <is>
          <t>0728210967</t>
        </is>
      </c>
      <c r="F47" s="38" t="n"/>
      <c r="G47" s="38">
        <f>IF($I47="",TODAY()-$A47,$I47-$A47)</f>
        <v/>
      </c>
      <c r="H47" s="38" t="inlineStr">
        <is>
          <t>Issued</t>
        </is>
      </c>
      <c r="I47" s="37" t="n">
        <v>46109</v>
      </c>
      <c r="J47" s="38" t="n"/>
      <c r="K47" s="38" t="n"/>
      <c r="L47" s="38">
        <f>IF($G47&gt;=DueDays,"Due",IF($G47&gt;=WarnDays,"Warning",IF($G47&gt;=EarlyDays,"Normal","New")))</f>
        <v/>
      </c>
      <c r="M47" s="38">
        <f>IFS($H47="Held","In Branch",$H47="Issued","Collected",$H47="Destroyed","Destroyed",TRUE,"Pending")</f>
        <v/>
      </c>
      <c r="N47" s="38">
        <f>AND($H47="Held",$G47&gt;=DueDays)</f>
        <v/>
      </c>
      <c r="O47" s="38">
        <f>IF($N47,$G47-DueDays,"")</f>
        <v/>
      </c>
      <c r="P47" s="38">
        <f>COUNTIF('Communication Log'!$C:$C,$C47)</f>
        <v/>
      </c>
      <c r="Q47" s="38">
        <f>IF($H47&lt;&gt;"Held","No",IF(AND($G47&gt;=EarlyDays,OR($J47="",TODAY()-$J47&gt;=ReminderGapDays)),"Yes","No"))</f>
        <v/>
      </c>
    </row>
    <row r="48">
      <c r="A48" s="37" t="n">
        <v>46107</v>
      </c>
      <c r="B48" s="38" t="inlineStr">
        <is>
          <t xml:space="preserve">Samuel Mwangi </t>
        </is>
      </c>
      <c r="C48" s="38" t="inlineStr">
        <is>
          <t>547743*2445</t>
        </is>
      </c>
      <c r="D48" s="38" t="inlineStr"/>
      <c r="E48" s="38" t="n"/>
      <c r="F48" s="38" t="n"/>
      <c r="G48" s="38">
        <f>IF($I48="",TODAY()-$A48,$I48-$A48)</f>
        <v/>
      </c>
      <c r="H48" s="38" t="inlineStr">
        <is>
          <t>Issued</t>
        </is>
      </c>
      <c r="I48" s="37" t="n">
        <v>46107</v>
      </c>
      <c r="J48" s="38" t="n"/>
      <c r="K48" s="38" t="inlineStr">
        <is>
          <t xml:space="preserve">Received from Rongai </t>
        </is>
      </c>
      <c r="L48" s="38">
        <f>IF($G48&gt;=DueDays,"Due",IF($G48&gt;=WarnDays,"Warning",IF($G48&gt;=EarlyDays,"Normal","New")))</f>
        <v/>
      </c>
      <c r="M48" s="38">
        <f>IFS($H48="Held","In Branch",$H48="Issued","Collected",$H48="Destroyed","Destroyed",TRUE,"Pending")</f>
        <v/>
      </c>
      <c r="N48" s="38">
        <f>AND($H48="Held",$G48&gt;=DueDays)</f>
        <v/>
      </c>
      <c r="O48" s="38">
        <f>IF($N48,$G48-DueDays,"")</f>
        <v/>
      </c>
      <c r="P48" s="38">
        <f>COUNTIF('Communication Log'!$C:$C,$C48)</f>
        <v/>
      </c>
      <c r="Q48" s="38">
        <f>IF($H48&lt;&gt;"Held","No",IF(AND($G48&gt;=EarlyDays,OR($J48="",TODAY()-$J48&gt;=ReminderGapDays)),"Yes","No"))</f>
        <v/>
      </c>
    </row>
    <row r="49">
      <c r="A49" s="37" t="n">
        <v>46109</v>
      </c>
      <c r="B49" s="38" t="inlineStr">
        <is>
          <t xml:space="preserve">Vincent Ouma </t>
        </is>
      </c>
      <c r="C49" s="38" t="inlineStr">
        <is>
          <t>547743*8443</t>
        </is>
      </c>
      <c r="D49" s="38" t="inlineStr"/>
      <c r="E49" s="38" t="inlineStr">
        <is>
          <t>0714067627</t>
        </is>
      </c>
      <c r="F49" s="38" t="n"/>
      <c r="G49" s="38">
        <f>IF($I49="",TODAY()-$A49,$I49-$A49)</f>
        <v/>
      </c>
      <c r="H49" s="38" t="inlineStr">
        <is>
          <t>Pend</t>
        </is>
      </c>
      <c r="I49" s="38" t="n"/>
      <c r="J49" s="38" t="n"/>
      <c r="K49" s="38" t="n"/>
      <c r="L49" s="38">
        <f>IF($G49&gt;=DueDays,"Due",IF($G49&gt;=WarnDays,"Warning",IF($G49&gt;=EarlyDays,"Normal","New")))</f>
        <v/>
      </c>
      <c r="M49" s="38">
        <f>IFS($H49="Held","In Branch",$H49="Issued","Collected",$H49="Destroyed","Destroyed",TRUE,"Pending")</f>
        <v/>
      </c>
      <c r="N49" s="38">
        <f>AND($H49="Held",$G49&gt;=DueDays)</f>
        <v/>
      </c>
      <c r="O49" s="38">
        <f>IF($N49,$G49-DueDays,"")</f>
        <v/>
      </c>
      <c r="P49" s="38">
        <f>COUNTIF('Communication Log'!$C:$C,$C49)</f>
        <v/>
      </c>
      <c r="Q49" s="38">
        <f>IF($H49&lt;&gt;"Held","No",IF(AND($G49&gt;=EarlyDays,OR($J49="",TODAY()-$J49&gt;=ReminderGapDays)),"Yes","No"))</f>
        <v/>
      </c>
    </row>
    <row r="50">
      <c r="A50" s="37" t="n">
        <v>46109</v>
      </c>
      <c r="B50" s="38" t="inlineStr">
        <is>
          <t>Enock Barasa</t>
        </is>
      </c>
      <c r="C50" s="38" t="inlineStr">
        <is>
          <t>547743*7871</t>
        </is>
      </c>
      <c r="D50" s="38" t="inlineStr"/>
      <c r="E50" s="38" t="inlineStr">
        <is>
          <t>0714051250</t>
        </is>
      </c>
      <c r="F50" s="38" t="n"/>
      <c r="G50" s="38">
        <f>IF($I50="",TODAY()-$A50,$I50-$A50)</f>
        <v/>
      </c>
      <c r="H50" s="38" t="inlineStr">
        <is>
          <t>Issued</t>
        </is>
      </c>
      <c r="I50" s="37" t="n">
        <v>46112</v>
      </c>
      <c r="J50" s="38" t="n"/>
      <c r="K50" s="38" t="n"/>
      <c r="L50" s="38">
        <f>IF($G50&gt;=DueDays,"Due",IF($G50&gt;=WarnDays,"Warning",IF($G50&gt;=EarlyDays,"Normal","New")))</f>
        <v/>
      </c>
      <c r="M50" s="38">
        <f>IFS($H50="Held","In Branch",$H50="Issued","Collected",$H50="Destroyed","Destroyed",TRUE,"Pending")</f>
        <v/>
      </c>
      <c r="N50" s="38">
        <f>AND($H50="Held",$G50&gt;=DueDays)</f>
        <v/>
      </c>
      <c r="O50" s="38">
        <f>IF($N50,$G50-DueDays,"")</f>
        <v/>
      </c>
      <c r="P50" s="38">
        <f>COUNTIF('Communication Log'!$C:$C,$C50)</f>
        <v/>
      </c>
      <c r="Q50" s="38">
        <f>IF($H50&lt;&gt;"Held","No",IF(AND($G50&gt;=EarlyDays,OR($J50="",TODAY()-$J50&gt;=ReminderGapDays)),"Yes","No"))</f>
        <v/>
      </c>
    </row>
  </sheetData>
  <conditionalFormatting sqref="L2:L50">
    <cfRule type="expression" priority="1" dxfId="2">
      <formula>$L2="Due"</formula>
    </cfRule>
    <cfRule type="expression" priority="2" dxfId="3">
      <formula>$L2="Warning"</formula>
    </cfRule>
    <cfRule type="expression" priority="3" dxfId="1">
      <formula>$L2="Normal"</formula>
    </cfRule>
  </conditionalFormatting>
  <conditionalFormatting sqref="O2:O50">
    <cfRule type="colorScale" priority="4">
      <colorScale>
        <cfvo type="num" val="0"/>
        <cfvo type="max"/>
        <color rgb="00FEF3E0"/>
        <color rgb="00C0392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6B61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Date Sent</t>
        </is>
      </c>
      <c r="B1" s="39" t="inlineStr">
        <is>
          <t>Customer Name</t>
        </is>
      </c>
      <c r="C1" s="39" t="inlineStr">
        <is>
          <t>Card Number</t>
        </is>
      </c>
      <c r="D1" s="39" t="inlineStr">
        <is>
          <t>Email Address</t>
        </is>
      </c>
      <c r="E1" s="39" t="inlineStr">
        <is>
          <t>Email</t>
        </is>
      </c>
      <c r="F1" s="39" t="inlineStr">
        <is>
          <t>Type</t>
        </is>
      </c>
      <c r="G1" s="39" t="inlineStr">
        <is>
          <t>Sent 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Date Sent</t>
        </is>
      </c>
      <c r="B1" s="39" t="inlineStr">
        <is>
          <t>Customer Name</t>
        </is>
      </c>
      <c r="C1" s="39" t="inlineStr">
        <is>
          <t>Email Address</t>
        </is>
      </c>
      <c r="D1" s="39" t="inlineStr">
        <is>
          <t>Card Number</t>
        </is>
      </c>
      <c r="E1" s="39" t="inlineStr">
        <is>
          <t>TIB</t>
        </is>
      </c>
      <c r="F1" s="39" t="inlineStr">
        <is>
          <t>Status</t>
        </is>
      </c>
      <c r="G1" s="39" t="inlineStr">
        <is>
          <t>Email Subject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Cards</t>
        </is>
      </c>
      <c r="D1" t="inlineStr">
        <is>
          <t>Age Band</t>
        </is>
      </c>
      <c r="E1" t="inlineStr">
        <is>
          <t>Cards</t>
        </is>
      </c>
      <c r="G1" t="inlineStr">
        <is>
          <t>Month</t>
        </is>
      </c>
      <c r="H1" t="inlineStr">
        <is>
          <t>Cards Recorded</t>
        </is>
      </c>
      <c r="J1" t="inlineStr">
        <is>
          <t>seg</t>
        </is>
      </c>
      <c r="K1" t="inlineStr">
        <is>
          <t>New</t>
        </is>
      </c>
      <c r="L1" t="inlineStr">
        <is>
          <t>Normal</t>
        </is>
      </c>
      <c r="M1" t="inlineStr">
        <is>
          <t>Warning</t>
        </is>
      </c>
      <c r="N1" t="inlineStr">
        <is>
          <t>Due</t>
        </is>
      </c>
    </row>
    <row r="2">
      <c r="A2" t="inlineStr">
        <is>
          <t>In Branch (Held)</t>
        </is>
      </c>
      <c r="B2">
        <f>COUNTIF('Card Register'!$H$2:$H$50,"Held*")</f>
        <v/>
      </c>
      <c r="D2" t="inlineStr">
        <is>
          <t>New (0-29)</t>
        </is>
      </c>
      <c r="E2">
        <f>COUNTIFS('Card Register'!$G$2:$G$50,"&gt;=0",'Card Register'!$G$2:$G$50,"&lt;"&amp;EarlyDays)</f>
        <v/>
      </c>
      <c r="G2" s="40" t="n">
        <v>46023</v>
      </c>
      <c r="H2">
        <f>COUNTIFS('Card Register'!$A$2:$A$50,"&gt;="&amp;DATE(2026,1,1),'Card Register'!$A$2:$A$50,"&lt;"&amp;DATE(2026,2,1))</f>
        <v/>
      </c>
      <c r="J2" t="inlineStr">
        <is>
          <t>Portfolio</t>
        </is>
      </c>
      <c r="K2">
        <f>_calc!$E$2</f>
        <v/>
      </c>
      <c r="L2">
        <f>_calc!$E$3</f>
        <v/>
      </c>
      <c r="M2">
        <f>_calc!$E$4</f>
        <v/>
      </c>
      <c r="N2">
        <f>_calc!$E$5</f>
        <v/>
      </c>
    </row>
    <row r="3">
      <c r="A3" t="inlineStr">
        <is>
          <t>Collected (Issued)</t>
        </is>
      </c>
      <c r="B3">
        <f>COUNTIF('Card Register'!$H$2:$H$50,"Issued*")</f>
        <v/>
      </c>
      <c r="D3" t="inlineStr">
        <is>
          <t>Normal (30-59)</t>
        </is>
      </c>
      <c r="E3">
        <f>COUNTIFS('Card Register'!$G$2:$G$50,"&gt;="&amp;EarlyDays,'Card Register'!$G$2:$G$50,"&lt;"&amp;WarnDays)</f>
        <v/>
      </c>
      <c r="G3" s="40" t="n">
        <v>46054</v>
      </c>
      <c r="H3">
        <f>COUNTIFS('Card Register'!$A$2:$A$50,"&gt;="&amp;DATE(2026,2,1),'Card Register'!$A$2:$A$50,"&lt;"&amp;DATE(2026,3,1))</f>
        <v/>
      </c>
    </row>
    <row r="4">
      <c r="A4" t="inlineStr">
        <is>
          <t>Destroyed</t>
        </is>
      </c>
      <c r="B4">
        <f>COUNTIF('Card Register'!$H$2:$H$50,"Destroyed*")</f>
        <v/>
      </c>
      <c r="D4" t="inlineStr">
        <is>
          <t>Warning (60-89)</t>
        </is>
      </c>
      <c r="E4">
        <f>COUNTIFS('Card Register'!$G$2:$G$50,"&gt;="&amp;WarnDays,'Card Register'!$G$2:$G$50,"&lt;"&amp;DueDays)</f>
        <v/>
      </c>
      <c r="G4" s="40" t="n">
        <v>46082</v>
      </c>
      <c r="H4">
        <f>COUNTIFS('Card Register'!$A$2:$A$50,"&gt;="&amp;DATE(2026,3,1),'Card Register'!$A$2:$A$50,"&lt;"&amp;DATE(2026,4,1))</f>
        <v/>
      </c>
    </row>
    <row r="5">
      <c r="A5" t="inlineStr">
        <is>
          <t>Pending</t>
        </is>
      </c>
      <c r="B5">
        <f>COUNTIF('Card Register'!$H$2:$H$50,"Pend*")</f>
        <v/>
      </c>
      <c r="D5" t="inlineStr">
        <is>
          <t>Due 90+</t>
        </is>
      </c>
      <c r="E5">
        <f>COUNTIFS('Card Register'!$G$2:$G$50,"&gt;="&amp;DueDays)</f>
        <v/>
      </c>
      <c r="G5" s="40" t="n">
        <v>46113</v>
      </c>
      <c r="H5">
        <f>COUNTIFS('Card Register'!$A$2:$A$50,"&gt;="&amp;DATE(2026,4,1),'Card Register'!$A$2:$A$50,"&lt;"&amp;DATE(2026,5,1))</f>
        <v/>
      </c>
    </row>
    <row r="6">
      <c r="G6" s="40" t="n">
        <v>46143</v>
      </c>
      <c r="H6">
        <f>COUNTIFS('Card Register'!$A$2:$A$50,"&gt;="&amp;DATE(2026,5,1),'Card Register'!$A$2:$A$50,"&lt;"&amp;DATE(2026,6,1))</f>
        <v/>
      </c>
    </row>
    <row r="7">
      <c r="G7" s="40" t="n">
        <v>46174</v>
      </c>
      <c r="H7">
        <f>COUNTIFS('Card Register'!$A$2:$A$50,"&gt;="&amp;DATE(2026,6,1),'Card Register'!$A$2:$A$50,"&lt;"&amp;DATE(2026,7,1))</f>
        <v/>
      </c>
    </row>
    <row r="8">
      <c r="G8" s="40" t="n">
        <v>46204</v>
      </c>
      <c r="H8">
        <f>COUNTIFS('Card Register'!$A$2:$A$50,"&gt;="&amp;DATE(2026,7,1),'Card Register'!$A$2:$A$50,"&lt;"&amp;DATE(2026,8,1))</f>
        <v/>
      </c>
    </row>
    <row r="9">
      <c r="G9" s="40" t="n">
        <v>46235</v>
      </c>
      <c r="H9">
        <f>COUNTIFS('Card Register'!$A$2:$A$50,"&gt;="&amp;DATE(2026,8,1),'Card Register'!$A$2:$A$50,"&lt;"&amp;DATE(2026,9,1))</f>
        <v/>
      </c>
    </row>
    <row r="10">
      <c r="G10" s="40" t="n">
        <v>46266</v>
      </c>
      <c r="H10">
        <f>COUNTIFS('Card Register'!$A$2:$A$50,"&gt;="&amp;DATE(2026,9,1),'Card Register'!$A$2:$A$50,"&lt;"&amp;DATE(2026,10,1))</f>
        <v/>
      </c>
    </row>
    <row r="11">
      <c r="G11" s="40" t="n">
        <v>46296</v>
      </c>
      <c r="H11">
        <f>COUNTIFS('Card Register'!$A$2:$A$50,"&gt;="&amp;DATE(2026,10,1),'Card Register'!$A$2:$A$50,"&lt;"&amp;DATE(2026,11,1))</f>
        <v/>
      </c>
    </row>
    <row r="12">
      <c r="G12" s="40" t="n">
        <v>46327</v>
      </c>
      <c r="H12">
        <f>COUNTIFS('Card Register'!$A$2:$A$50,"&gt;="&amp;DATE(2026,11,1),'Card Register'!$A$2:$A$50,"&lt;"&amp;DATE(2026,12,1))</f>
        <v/>
      </c>
    </row>
    <row r="13">
      <c r="G13" s="40" t="n">
        <v>46357</v>
      </c>
      <c r="H13">
        <f>COUNTIFS('Card Register'!$A$2:$A$50,"&gt;="&amp;DATE(2026,12,1),'Card Register'!$A$2:$A$50,"&lt;"&amp;DATE(2027,1,1))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2026-06-22T09:28:12Z</dcterms:created>
  <dcterms:modified xsi:type="dcterms:W3CDTF">2026-06-22T09:28:12Z</dcterms:modified>
</cp:coreProperties>
</file>