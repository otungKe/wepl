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rd_Master" sheetId="2" state="visible" r:id="rId2"/>
    <sheet name="Destruction_Due_Report" sheetId="3" state="visible" r:id="rId3"/>
    <sheet name="Search" sheetId="4" state="visible" r:id="rId4"/>
    <sheet name="Audit_Log" sheetId="5" state="visible" r:id="rId5"/>
    <sheet name="Config" sheetId="6" state="visible" r:id="rId6"/>
  </sheets>
  <definedNames>
    <definedName name="WarningDays">Config!$B$4</definedName>
    <definedName name="EscalateDays">Config!$B$5</definedName>
    <definedName name="DestructionDays">Config!$B$6</definedName>
    <definedName name="RedAlertThreshold">Config!$B$7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0">
    <font>
      <name val="Calibri"/>
      <family val="2"/>
      <color theme="1"/>
      <sz val="11"/>
      <scheme val="minor"/>
    </font>
    <font>
      <b val="1"/>
      <color rgb="001F4E2C"/>
      <sz val="16"/>
    </font>
    <font>
      <b val="1"/>
      <color rgb="00FFFFFF"/>
      <sz val="11"/>
    </font>
    <font>
      <b val="1"/>
    </font>
    <font>
      <i val="1"/>
      <color rgb="00808080"/>
    </font>
    <font>
      <b val="1"/>
      <color rgb="001F4E2C"/>
      <sz val="14"/>
    </font>
    <font>
      <b val="1"/>
      <color rgb="001F4E2C"/>
      <sz val="18"/>
    </font>
    <font>
      <b val="1"/>
      <sz val="12"/>
    </font>
    <font>
      <b val="1"/>
      <color rgb="00006100"/>
      <sz val="11"/>
    </font>
    <font>
      <b val="1"/>
      <color rgb="00006100"/>
      <sz val="28"/>
    </font>
    <font>
      <b val="1"/>
      <color rgb="009C6500"/>
      <sz val="11"/>
    </font>
    <font>
      <b val="1"/>
      <color rgb="009C6500"/>
      <sz val="28"/>
    </font>
    <font>
      <b val="1"/>
      <color rgb="009C0006"/>
      <sz val="11"/>
    </font>
    <font>
      <b val="1"/>
      <color rgb="009C0006"/>
      <sz val="28"/>
    </font>
    <font>
      <b val="1"/>
      <color rgb="001F4E78"/>
      <sz val="11"/>
    </font>
    <font>
      <b val="1"/>
      <color rgb="001F4E78"/>
      <sz val="28"/>
    </font>
    <font>
      <b val="1"/>
      <color rgb="009C6500"/>
      <sz val="12"/>
    </font>
    <font>
      <b val="1"/>
      <color rgb="009C0006"/>
      <sz val="12"/>
    </font>
    <font>
      <b val="1"/>
      <color rgb="009C6500"/>
    </font>
    <font>
      <color rgb="00404040"/>
    </font>
  </fonts>
  <fills count="8">
    <fill>
      <patternFill/>
    </fill>
    <fill>
      <patternFill patternType="gray125"/>
    </fill>
    <fill>
      <patternFill patternType="solid">
        <fgColor rgb="001F4E2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5" fillId="0" borderId="0" pivotButton="0" quotePrefix="0" xfId="0"/>
    <xf numFmtId="0" fontId="1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7" borderId="1" pivotButton="0" quotePrefix="0" xfId="0"/>
    <xf numFmtId="0" fontId="3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'Dashboard'!C17</f>
            </strRef>
          </tx>
          <spPr>
            <a:ln>
              <a:prstDash val="solid"/>
            </a:ln>
          </spPr>
          <cat>
            <numRef>
              <f>'Dashboard'!$B$18:$B$20</f>
            </numRef>
          </cat>
          <val>
            <numRef>
              <f>'Dashboard'!$C$18:$C$20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cards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rd_Master" displayName="Card_Master" ref="A1:J26" headerRowCount="1">
  <autoFilter ref="A1:J26"/>
  <tableColumns count="10">
    <tableColumn id="1" name="Card Number"/>
    <tableColumn id="2" name="BIN"/>
    <tableColumn id="3" name="Card Type"/>
    <tableColumn id="4" name="Branch"/>
    <tableColumn id="5" name="Date Received"/>
    <tableColumn id="6" name="Card Age (Days)"/>
    <tableColumn id="7" name="Age Category"/>
    <tableColumn id="8" name="Destruction Flag"/>
    <tableColumn id="9" name="Days to 90-Day Limit"/>
    <tableColumn id="10" name="Days Overdu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Card Lifecycle Dashboard — 90-Day Destruction Control</t>
        </is>
      </c>
    </row>
    <row r="4" ht="26" customHeight="1">
      <c r="B4" s="2">
        <f>IF(COUNTIF(Card_Master[Card Age (Days)],"&gt;="&amp;DestructionDays)&gt;RedAlertThreshold,"⚠ ALERT: "&amp;COUNTIF(Card_Master[Card Age (Days)],"&gt;="&amp;DestructionDays)&amp;" cards are DUE FOR DESTRUCTION (threshold "&amp;RedAlertThreshold&amp;"). Action required.","✔ Within limits: destruction backlog under control.")</f>
        <v/>
      </c>
    </row>
    <row r="6">
      <c r="B6" s="3" t="inlineStr">
        <is>
          <t>NORMAL (0–59 days)</t>
        </is>
      </c>
      <c r="C6" s="4" t="n"/>
      <c r="D6" s="5" t="inlineStr">
        <is>
          <t>WARNING (60–89 days)</t>
        </is>
      </c>
      <c r="E6" s="4" t="n"/>
      <c r="F6" s="6" t="inlineStr">
        <is>
          <t>DUE FOR DESTRUCTION (90+)</t>
        </is>
      </c>
      <c r="G6" s="4" t="n"/>
      <c r="H6" s="7" t="inlineStr">
        <is>
          <t>TOTAL CARDS</t>
        </is>
      </c>
      <c r="I6" s="4" t="n"/>
    </row>
    <row r="7" ht="36" customHeight="1">
      <c r="B7" s="8">
        <f>COUNTIFS(Card_Master[Card Age (Days)],"&gt;=0",Card_Master[Card Age (Days)],"&lt;"&amp;WarningDays)</f>
        <v/>
      </c>
      <c r="C7" s="4" t="n"/>
      <c r="D7" s="9">
        <f>COUNTIFS(Card_Master[Card Age (Days)],"&gt;="&amp;WarningDays,Card_Master[Card Age (Days)],"&lt;"&amp;DestructionDays)</f>
        <v/>
      </c>
      <c r="E7" s="4" t="n"/>
      <c r="F7" s="10">
        <f>COUNTIF(Card_Master[Card Age (Days)],"&gt;="&amp;DestructionDays)</f>
        <v/>
      </c>
      <c r="G7" s="4" t="n"/>
      <c r="H7" s="11">
        <f>COUNTA(Card_Master[Card Number])</f>
        <v/>
      </c>
      <c r="I7" s="4" t="n"/>
    </row>
    <row r="8" ht="12" customHeight="1">
      <c r="B8" s="4" t="n"/>
      <c r="C8" s="4" t="n"/>
      <c r="D8" s="4" t="n"/>
      <c r="E8" s="4" t="n"/>
      <c r="F8" s="4" t="n"/>
      <c r="G8" s="4" t="n"/>
      <c r="H8" s="4" t="n"/>
      <c r="I8" s="4" t="n"/>
    </row>
    <row r="11">
      <c r="B11" s="12" t="inlineStr">
        <is>
          <t>Cards Approaching Expiry (60–89 days)</t>
        </is>
      </c>
      <c r="G11" s="12">
        <f>COUNTIFS(Card_Master[Card Age (Days)],"&gt;="&amp;WarningDays,Card_Master[Card Age (Days)],"&lt;"&amp;DestructionDays)</f>
        <v/>
      </c>
    </row>
    <row r="12">
      <c r="B12" s="13" t="inlineStr">
        <is>
          <t>Cards Due for Destruction (90+ days)</t>
        </is>
      </c>
      <c r="G12" s="13">
        <f>COUNTIF(Card_Master[Card Age (Days)],"&gt;="&amp;DestructionDays)</f>
        <v/>
      </c>
    </row>
    <row r="13">
      <c r="B13" s="14" t="inlineStr">
        <is>
          <t>High-risk escalation (85+ days, not yet 90)</t>
        </is>
      </c>
      <c r="G13">
        <f>COUNTIFS(Card_Master[Card Age (Days)],"&gt;="&amp;EscalateDays,Card_Master[Card Age (Days)],"&lt;"&amp;DestructionDays)</f>
        <v/>
      </c>
    </row>
    <row r="14">
      <c r="B14" s="15" t="inlineStr">
        <is>
          <t>→ See the 'Destruction_Due_Report' sheet for the actionable list.</t>
        </is>
      </c>
    </row>
    <row r="17">
      <c r="B17" s="16" t="inlineStr">
        <is>
          <t>Aging Bucket</t>
        </is>
      </c>
      <c r="C17" s="16" t="inlineStr">
        <is>
          <t>Cards</t>
        </is>
      </c>
    </row>
    <row r="18">
      <c r="B18" s="4" t="inlineStr">
        <is>
          <t>0–59 (Normal)</t>
        </is>
      </c>
      <c r="C18" s="4">
        <f>COUNTIFS(Card_Master[Card Age (Days)],"&gt;=0",Card_Master[Card Age (Days)],"&lt;"&amp;WarningDays)</f>
        <v/>
      </c>
    </row>
    <row r="19">
      <c r="B19" s="4" t="inlineStr">
        <is>
          <t>60–89 (Warning)</t>
        </is>
      </c>
      <c r="C19" s="4">
        <f>COUNTIFS(Card_Master[Card Age (Days)],"&gt;="&amp;WarningDays,Card_Master[Card Age (Days)],"&lt;"&amp;DestructionDays)</f>
        <v/>
      </c>
    </row>
    <row r="20">
      <c r="B20" s="4" t="inlineStr">
        <is>
          <t>90+ (Destruction)</t>
        </is>
      </c>
      <c r="C20" s="4">
        <f>COUNTIF(Card_Master[Card Age (Days)],"&gt;="&amp;DestructionDays)</f>
        <v/>
      </c>
    </row>
  </sheetData>
  <mergeCells count="9">
    <mergeCell ref="D6:E6"/>
    <mergeCell ref="B6:C6"/>
    <mergeCell ref="H6:I6"/>
    <mergeCell ref="D7:E8"/>
    <mergeCell ref="B7:C8"/>
    <mergeCell ref="B4:H4"/>
    <mergeCell ref="H7:I8"/>
    <mergeCell ref="F7:G8"/>
    <mergeCell ref="F6:G6"/>
  </mergeCells>
  <conditionalFormatting sqref="B4">
    <cfRule type="expression" priority="1" dxfId="0">
      <formula>COUNTIF(Card_Master[Card Age (Days)],"&gt;="&amp;DestructionDays)&gt;RedAlertThreshold</formula>
    </cfRule>
    <cfRule type="expression" priority="2" dxfId="1">
      <formula>COUNTIF(Card_Master[Card Age (Days)],"&gt;="&amp;DestructionDays)&lt;=RedAlertThreshold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4" customWidth="1" min="5" max="5"/>
    <col width="15" customWidth="1" min="6" max="6"/>
    <col width="20" customWidth="1" min="7" max="7"/>
    <col width="15" customWidth="1" min="8" max="8"/>
    <col width="18" customWidth="1" min="9" max="9"/>
    <col width="13" customWidth="1" min="10" max="10"/>
  </cols>
  <sheetData>
    <row r="1">
      <c r="A1" s="16" t="inlineStr">
        <is>
          <t>Card Number</t>
        </is>
      </c>
      <c r="B1" s="16" t="inlineStr">
        <is>
          <t>BIN</t>
        </is>
      </c>
      <c r="C1" s="16" t="inlineStr">
        <is>
          <t>Card Type</t>
        </is>
      </c>
      <c r="D1" s="16" t="inlineStr">
        <is>
          <t>Branch</t>
        </is>
      </c>
      <c r="E1" s="16" t="inlineStr">
        <is>
          <t>Date Received</t>
        </is>
      </c>
      <c r="F1" s="16" t="inlineStr">
        <is>
          <t>Card Age (Days)</t>
        </is>
      </c>
      <c r="G1" s="16" t="inlineStr">
        <is>
          <t>Age Category</t>
        </is>
      </c>
      <c r="H1" s="16" t="inlineStr">
        <is>
          <t>Destruction Flag</t>
        </is>
      </c>
      <c r="I1" s="16" t="inlineStr">
        <is>
          <t>Days to 90-Day Limit</t>
        </is>
      </c>
      <c r="J1" s="16" t="inlineStr">
        <is>
          <t>Days Overdue</t>
        </is>
      </c>
    </row>
    <row r="2">
      <c r="A2" s="4" t="inlineStr">
        <is>
          <t>4012 8888 0001</t>
        </is>
      </c>
      <c r="B2" s="4" t="inlineStr">
        <is>
          <t>401288</t>
        </is>
      </c>
      <c r="C2" s="4" t="inlineStr">
        <is>
          <t>Visa Debit</t>
        </is>
      </c>
      <c r="D2" s="4" t="inlineStr">
        <is>
          <t>Nairobi CBD</t>
        </is>
      </c>
      <c r="E2" s="17" t="n">
        <v>46190</v>
      </c>
      <c r="F2" s="4">
        <f>IF($E2="","",TODAY()-$E2)</f>
        <v/>
      </c>
      <c r="G2" s="4">
        <f>IF($F2="","",IF($F2&gt;=DestructionDays,"Due for Destruction",IF($F2&gt;=WarningDays,"Warning","Normal")))</f>
        <v/>
      </c>
      <c r="H2" s="4">
        <f>IF($F2="","",$F2&gt;=DestructionDays)</f>
        <v/>
      </c>
      <c r="I2" s="4">
        <f>IF($F2="","",DestructionDays-$F2)</f>
        <v/>
      </c>
      <c r="J2" s="4">
        <f>IF($F2="","",MAX(0,$F2-DestructionDays))</f>
        <v/>
      </c>
    </row>
    <row r="3">
      <c r="A3" s="4" t="inlineStr">
        <is>
          <t>5412 7510 0002</t>
        </is>
      </c>
      <c r="B3" s="4" t="inlineStr">
        <is>
          <t>541275</t>
        </is>
      </c>
      <c r="C3" s="4" t="inlineStr">
        <is>
          <t>Mastercard Debit</t>
        </is>
      </c>
      <c r="D3" s="4" t="inlineStr">
        <is>
          <t>Mombasa</t>
        </is>
      </c>
      <c r="E3" s="17" t="n">
        <v>46177</v>
      </c>
      <c r="F3" s="4">
        <f>IF($E3="","",TODAY()-$E3)</f>
        <v/>
      </c>
      <c r="G3" s="4">
        <f>IF($F3="","",IF($F3&gt;=DestructionDays,"Due for Destruction",IF($F3&gt;=WarningDays,"Warning","Normal")))</f>
        <v/>
      </c>
      <c r="H3" s="4">
        <f>IF($F3="","",$F3&gt;=DestructionDays)</f>
        <v/>
      </c>
      <c r="I3" s="4">
        <f>IF($F3="","",DestructionDays-$F3)</f>
        <v/>
      </c>
      <c r="J3" s="4">
        <f>IF($F3="","",MAX(0,$F3-DestructionDays))</f>
        <v/>
      </c>
    </row>
    <row r="4">
      <c r="A4" s="4" t="inlineStr">
        <is>
          <t>4012 8888 0003</t>
        </is>
      </c>
      <c r="B4" s="4" t="inlineStr">
        <is>
          <t>401288</t>
        </is>
      </c>
      <c r="C4" s="4" t="inlineStr">
        <is>
          <t>Visa Credit</t>
        </is>
      </c>
      <c r="D4" s="4" t="inlineStr">
        <is>
          <t>Kisumu</t>
        </is>
      </c>
      <c r="E4" s="17" t="n">
        <v>46162</v>
      </c>
      <c r="F4" s="4">
        <f>IF($E4="","",TODAY()-$E4)</f>
        <v/>
      </c>
      <c r="G4" s="4">
        <f>IF($F4="","",IF($F4&gt;=DestructionDays,"Due for Destruction",IF($F4&gt;=WarningDays,"Warning","Normal")))</f>
        <v/>
      </c>
      <c r="H4" s="4">
        <f>IF($F4="","",$F4&gt;=DestructionDays)</f>
        <v/>
      </c>
      <c r="I4" s="4">
        <f>IF($F4="","",DestructionDays-$F4)</f>
        <v/>
      </c>
      <c r="J4" s="4">
        <f>IF($F4="","",MAX(0,$F4-DestructionDays))</f>
        <v/>
      </c>
    </row>
    <row r="5">
      <c r="A5" s="4" t="inlineStr">
        <is>
          <t>5412 7510 0004</t>
        </is>
      </c>
      <c r="B5" s="4" t="inlineStr">
        <is>
          <t>541275</t>
        </is>
      </c>
      <c r="C5" s="4" t="inlineStr">
        <is>
          <t>Mastercard Credit</t>
        </is>
      </c>
      <c r="D5" s="4" t="inlineStr">
        <is>
          <t>Nakuru</t>
        </is>
      </c>
      <c r="E5" s="17" t="n">
        <v>46148</v>
      </c>
      <c r="F5" s="4">
        <f>IF($E5="","",TODAY()-$E5)</f>
        <v/>
      </c>
      <c r="G5" s="4">
        <f>IF($F5="","",IF($F5&gt;=DestructionDays,"Due for Destruction",IF($F5&gt;=WarningDays,"Warning","Normal")))</f>
        <v/>
      </c>
      <c r="H5" s="4">
        <f>IF($F5="","",$F5&gt;=DestructionDays)</f>
        <v/>
      </c>
      <c r="I5" s="4">
        <f>IF($F5="","",DestructionDays-$F5)</f>
        <v/>
      </c>
      <c r="J5" s="4">
        <f>IF($F5="","",MAX(0,$F5-DestructionDays))</f>
        <v/>
      </c>
    </row>
    <row r="6">
      <c r="A6" s="4" t="inlineStr">
        <is>
          <t>4012 8888 0005</t>
        </is>
      </c>
      <c r="B6" s="4" t="inlineStr">
        <is>
          <t>401288</t>
        </is>
      </c>
      <c r="C6" s="4" t="inlineStr">
        <is>
          <t>Prepaid</t>
        </is>
      </c>
      <c r="D6" s="4" t="inlineStr">
        <is>
          <t>Eldoret</t>
        </is>
      </c>
      <c r="E6" s="17" t="n">
        <v>46137</v>
      </c>
      <c r="F6" s="4">
        <f>IF($E6="","",TODAY()-$E6)</f>
        <v/>
      </c>
      <c r="G6" s="4">
        <f>IF($F6="","",IF($F6&gt;=DestructionDays,"Due for Destruction",IF($F6&gt;=WarningDays,"Warning","Normal")))</f>
        <v/>
      </c>
      <c r="H6" s="4">
        <f>IF($F6="","",$F6&gt;=DestructionDays)</f>
        <v/>
      </c>
      <c r="I6" s="4">
        <f>IF($F6="","",DestructionDays-$F6)</f>
        <v/>
      </c>
      <c r="J6" s="4">
        <f>IF($F6="","",MAX(0,$F6-DestructionDays))</f>
        <v/>
      </c>
    </row>
    <row r="7">
      <c r="A7" s="4" t="inlineStr">
        <is>
          <t>5412 7510 0006</t>
        </is>
      </c>
      <c r="B7" s="4" t="inlineStr">
        <is>
          <t>541275</t>
        </is>
      </c>
      <c r="C7" s="4" t="inlineStr">
        <is>
          <t>Visa Debit</t>
        </is>
      </c>
      <c r="D7" s="4" t="inlineStr">
        <is>
          <t>Thika</t>
        </is>
      </c>
      <c r="E7" s="17" t="n">
        <v>46134</v>
      </c>
      <c r="F7" s="4">
        <f>IF($E7="","",TODAY()-$E7)</f>
        <v/>
      </c>
      <c r="G7" s="4">
        <f>IF($F7="","",IF($F7&gt;=DestructionDays,"Due for Destruction",IF($F7&gt;=WarningDays,"Warning","Normal")))</f>
        <v/>
      </c>
      <c r="H7" s="4">
        <f>IF($F7="","",$F7&gt;=DestructionDays)</f>
        <v/>
      </c>
      <c r="I7" s="4">
        <f>IF($F7="","",DestructionDays-$F7)</f>
        <v/>
      </c>
      <c r="J7" s="4">
        <f>IF($F7="","",MAX(0,$F7-DestructionDays))</f>
        <v/>
      </c>
    </row>
    <row r="8">
      <c r="A8" s="4" t="inlineStr">
        <is>
          <t>4012 8888 0007</t>
        </is>
      </c>
      <c r="B8" s="4" t="inlineStr">
        <is>
          <t>401288</t>
        </is>
      </c>
      <c r="C8" s="4" t="inlineStr">
        <is>
          <t>Mastercard Debit</t>
        </is>
      </c>
      <c r="D8" s="4" t="inlineStr">
        <is>
          <t>Nairobi CBD</t>
        </is>
      </c>
      <c r="E8" s="17" t="n">
        <v>46128</v>
      </c>
      <c r="F8" s="4">
        <f>IF($E8="","",TODAY()-$E8)</f>
        <v/>
      </c>
      <c r="G8" s="4">
        <f>IF($F8="","",IF($F8&gt;=DestructionDays,"Due for Destruction",IF($F8&gt;=WarningDays,"Warning","Normal")))</f>
        <v/>
      </c>
      <c r="H8" s="4">
        <f>IF($F8="","",$F8&gt;=DestructionDays)</f>
        <v/>
      </c>
      <c r="I8" s="4">
        <f>IF($F8="","",DestructionDays-$F8)</f>
        <v/>
      </c>
      <c r="J8" s="4">
        <f>IF($F8="","",MAX(0,$F8-DestructionDays))</f>
        <v/>
      </c>
    </row>
    <row r="9">
      <c r="A9" s="4" t="inlineStr">
        <is>
          <t>5412 7510 0008</t>
        </is>
      </c>
      <c r="B9" s="4" t="inlineStr">
        <is>
          <t>541275</t>
        </is>
      </c>
      <c r="C9" s="4" t="inlineStr">
        <is>
          <t>Visa Credit</t>
        </is>
      </c>
      <c r="D9" s="4" t="inlineStr">
        <is>
          <t>Mombasa</t>
        </is>
      </c>
      <c r="E9" s="17" t="n">
        <v>46123</v>
      </c>
      <c r="F9" s="4">
        <f>IF($E9="","",TODAY()-$E9)</f>
        <v/>
      </c>
      <c r="G9" s="4">
        <f>IF($F9="","",IF($F9&gt;=DestructionDays,"Due for Destruction",IF($F9&gt;=WarningDays,"Warning","Normal")))</f>
        <v/>
      </c>
      <c r="H9" s="4">
        <f>IF($F9="","",$F9&gt;=DestructionDays)</f>
        <v/>
      </c>
      <c r="I9" s="4">
        <f>IF($F9="","",DestructionDays-$F9)</f>
        <v/>
      </c>
      <c r="J9" s="4">
        <f>IF($F9="","",MAX(0,$F9-DestructionDays))</f>
        <v/>
      </c>
    </row>
    <row r="10">
      <c r="A10" s="4" t="inlineStr">
        <is>
          <t>4012 8888 0009</t>
        </is>
      </c>
      <c r="B10" s="4" t="inlineStr">
        <is>
          <t>401288</t>
        </is>
      </c>
      <c r="C10" s="4" t="inlineStr">
        <is>
          <t>Prepaid</t>
        </is>
      </c>
      <c r="D10" s="4" t="inlineStr">
        <is>
          <t>Kisumu</t>
        </is>
      </c>
      <c r="E10" s="17" t="n">
        <v>46116</v>
      </c>
      <c r="F10" s="4">
        <f>IF($E10="","",TODAY()-$E10)</f>
        <v/>
      </c>
      <c r="G10" s="4">
        <f>IF($F10="","",IF($F10&gt;=DestructionDays,"Due for Destruction",IF($F10&gt;=WarningDays,"Warning","Normal")))</f>
        <v/>
      </c>
      <c r="H10" s="4">
        <f>IF($F10="","",$F10&gt;=DestructionDays)</f>
        <v/>
      </c>
      <c r="I10" s="4">
        <f>IF($F10="","",DestructionDays-$F10)</f>
        <v/>
      </c>
      <c r="J10" s="4">
        <f>IF($F10="","",MAX(0,$F10-DestructionDays))</f>
        <v/>
      </c>
    </row>
    <row r="11">
      <c r="A11" s="4" t="inlineStr">
        <is>
          <t>5412 7510 0010</t>
        </is>
      </c>
      <c r="B11" s="4" t="inlineStr">
        <is>
          <t>541275</t>
        </is>
      </c>
      <c r="C11" s="4" t="inlineStr">
        <is>
          <t>Mastercard Credit</t>
        </is>
      </c>
      <c r="D11" s="4" t="inlineStr">
        <is>
          <t>Nakuru</t>
        </is>
      </c>
      <c r="E11" s="17" t="n">
        <v>46110</v>
      </c>
      <c r="F11" s="4">
        <f>IF($E11="","",TODAY()-$E11)</f>
        <v/>
      </c>
      <c r="G11" s="4">
        <f>IF($F11="","",IF($F11&gt;=DestructionDays,"Due for Destruction",IF($F11&gt;=WarningDays,"Warning","Normal")))</f>
        <v/>
      </c>
      <c r="H11" s="4">
        <f>IF($F11="","",$F11&gt;=DestructionDays)</f>
        <v/>
      </c>
      <c r="I11" s="4">
        <f>IF($F11="","",DestructionDays-$F11)</f>
        <v/>
      </c>
      <c r="J11" s="4">
        <f>IF($F11="","",MAX(0,$F11-DestructionDays))</f>
        <v/>
      </c>
    </row>
    <row r="12">
      <c r="A12" s="4" t="inlineStr">
        <is>
          <t>4012 8888 0011</t>
        </is>
      </c>
      <c r="B12" s="4" t="inlineStr">
        <is>
          <t>401288</t>
        </is>
      </c>
      <c r="C12" s="4" t="inlineStr">
        <is>
          <t>Visa Debit</t>
        </is>
      </c>
      <c r="D12" s="4" t="inlineStr">
        <is>
          <t>Eldoret</t>
        </is>
      </c>
      <c r="E12" s="17" t="n">
        <v>46107</v>
      </c>
      <c r="F12" s="4">
        <f>IF($E12="","",TODAY()-$E12)</f>
        <v/>
      </c>
      <c r="G12" s="4">
        <f>IF($F12="","",IF($F12&gt;=DestructionDays,"Due for Destruction",IF($F12&gt;=WarningDays,"Warning","Normal")))</f>
        <v/>
      </c>
      <c r="H12" s="4">
        <f>IF($F12="","",$F12&gt;=DestructionDays)</f>
        <v/>
      </c>
      <c r="I12" s="4">
        <f>IF($F12="","",DestructionDays-$F12)</f>
        <v/>
      </c>
      <c r="J12" s="4">
        <f>IF($F12="","",MAX(0,$F12-DestructionDays))</f>
        <v/>
      </c>
    </row>
    <row r="13">
      <c r="A13" s="4" t="inlineStr">
        <is>
          <t>5412 7510 0012</t>
        </is>
      </c>
      <c r="B13" s="4" t="inlineStr">
        <is>
          <t>541275</t>
        </is>
      </c>
      <c r="C13" s="4" t="inlineStr">
        <is>
          <t>Mastercard Debit</t>
        </is>
      </c>
      <c r="D13" s="4" t="inlineStr">
        <is>
          <t>Thika</t>
        </is>
      </c>
      <c r="E13" s="17" t="n">
        <v>46106</v>
      </c>
      <c r="F13" s="4">
        <f>IF($E13="","",TODAY()-$E13)</f>
        <v/>
      </c>
      <c r="G13" s="4">
        <f>IF($F13="","",IF($F13&gt;=DestructionDays,"Due for Destruction",IF($F13&gt;=WarningDays,"Warning","Normal")))</f>
        <v/>
      </c>
      <c r="H13" s="4">
        <f>IF($F13="","",$F13&gt;=DestructionDays)</f>
        <v/>
      </c>
      <c r="I13" s="4">
        <f>IF($F13="","",DestructionDays-$F13)</f>
        <v/>
      </c>
      <c r="J13" s="4">
        <f>IF($F13="","",MAX(0,$F13-DestructionDays))</f>
        <v/>
      </c>
    </row>
    <row r="14">
      <c r="A14" s="4" t="inlineStr">
        <is>
          <t>4012 8888 0013</t>
        </is>
      </c>
      <c r="B14" s="4" t="inlineStr">
        <is>
          <t>401288</t>
        </is>
      </c>
      <c r="C14" s="4" t="inlineStr">
        <is>
          <t>Visa Credit</t>
        </is>
      </c>
      <c r="D14" s="4" t="inlineStr">
        <is>
          <t>Nairobi CBD</t>
        </is>
      </c>
      <c r="E14" s="17" t="n">
        <v>46105</v>
      </c>
      <c r="F14" s="4">
        <f>IF($E14="","",TODAY()-$E14)</f>
        <v/>
      </c>
      <c r="G14" s="4">
        <f>IF($F14="","",IF($F14&gt;=DestructionDays,"Due for Destruction",IF($F14&gt;=WarningDays,"Warning","Normal")))</f>
        <v/>
      </c>
      <c r="H14" s="4">
        <f>IF($F14="","",$F14&gt;=DestructionDays)</f>
        <v/>
      </c>
      <c r="I14" s="4">
        <f>IF($F14="","",DestructionDays-$F14)</f>
        <v/>
      </c>
      <c r="J14" s="4">
        <f>IF($F14="","",MAX(0,$F14-DestructionDays))</f>
        <v/>
      </c>
    </row>
    <row r="15">
      <c r="A15" s="4" t="inlineStr">
        <is>
          <t>5412 7510 0014</t>
        </is>
      </c>
      <c r="B15" s="4" t="inlineStr">
        <is>
          <t>541275</t>
        </is>
      </c>
      <c r="C15" s="4" t="inlineStr">
        <is>
          <t>Prepaid</t>
        </is>
      </c>
      <c r="D15" s="4" t="inlineStr">
        <is>
          <t>Mombasa</t>
        </is>
      </c>
      <c r="E15" s="17" t="n">
        <v>46100</v>
      </c>
      <c r="F15" s="4">
        <f>IF($E15="","",TODAY()-$E15)</f>
        <v/>
      </c>
      <c r="G15" s="4">
        <f>IF($F15="","",IF($F15&gt;=DestructionDays,"Due for Destruction",IF($F15&gt;=WarningDays,"Warning","Normal")))</f>
        <v/>
      </c>
      <c r="H15" s="4">
        <f>IF($F15="","",$F15&gt;=DestructionDays)</f>
        <v/>
      </c>
      <c r="I15" s="4">
        <f>IF($F15="","",DestructionDays-$F15)</f>
        <v/>
      </c>
      <c r="J15" s="4">
        <f>IF($F15="","",MAX(0,$F15-DestructionDays))</f>
        <v/>
      </c>
    </row>
    <row r="16">
      <c r="A16" s="4" t="inlineStr">
        <is>
          <t>4012 8888 0015</t>
        </is>
      </c>
      <c r="B16" s="4" t="inlineStr">
        <is>
          <t>401288</t>
        </is>
      </c>
      <c r="C16" s="4" t="inlineStr">
        <is>
          <t>Mastercard Credit</t>
        </is>
      </c>
      <c r="D16" s="4" t="inlineStr">
        <is>
          <t>Kisumu</t>
        </is>
      </c>
      <c r="E16" s="17" t="n">
        <v>46091</v>
      </c>
      <c r="F16" s="4">
        <f>IF($E16="","",TODAY()-$E16)</f>
        <v/>
      </c>
      <c r="G16" s="4">
        <f>IF($F16="","",IF($F16&gt;=DestructionDays,"Due for Destruction",IF($F16&gt;=WarningDays,"Warning","Normal")))</f>
        <v/>
      </c>
      <c r="H16" s="4">
        <f>IF($F16="","",$F16&gt;=DestructionDays)</f>
        <v/>
      </c>
      <c r="I16" s="4">
        <f>IF($F16="","",DestructionDays-$F16)</f>
        <v/>
      </c>
      <c r="J16" s="4">
        <f>IF($F16="","",MAX(0,$F16-DestructionDays))</f>
        <v/>
      </c>
    </row>
    <row r="17">
      <c r="A17" s="4" t="inlineStr">
        <is>
          <t>5412 7510 0016</t>
        </is>
      </c>
      <c r="B17" s="4" t="inlineStr">
        <is>
          <t>541275</t>
        </is>
      </c>
      <c r="C17" s="4" t="inlineStr">
        <is>
          <t>Visa Debit</t>
        </is>
      </c>
      <c r="D17" s="4" t="inlineStr">
        <is>
          <t>Nakuru</t>
        </is>
      </c>
      <c r="E17" s="17" t="n">
        <v>46077</v>
      </c>
      <c r="F17" s="4">
        <f>IF($E17="","",TODAY()-$E17)</f>
        <v/>
      </c>
      <c r="G17" s="4">
        <f>IF($F17="","",IF($F17&gt;=DestructionDays,"Due for Destruction",IF($F17&gt;=WarningDays,"Warning","Normal")))</f>
        <v/>
      </c>
      <c r="H17" s="4">
        <f>IF($F17="","",$F17&gt;=DestructionDays)</f>
        <v/>
      </c>
      <c r="I17" s="4">
        <f>IF($F17="","",DestructionDays-$F17)</f>
        <v/>
      </c>
      <c r="J17" s="4">
        <f>IF($F17="","",MAX(0,$F17-DestructionDays))</f>
        <v/>
      </c>
    </row>
    <row r="18">
      <c r="A18" s="4" t="inlineStr">
        <is>
          <t>4012 8888 0017</t>
        </is>
      </c>
      <c r="B18" s="4" t="inlineStr">
        <is>
          <t>401288</t>
        </is>
      </c>
      <c r="C18" s="4" t="inlineStr">
        <is>
          <t>Mastercard Debit</t>
        </is>
      </c>
      <c r="D18" s="4" t="inlineStr">
        <is>
          <t>Eldoret</t>
        </is>
      </c>
      <c r="E18" s="17" t="n">
        <v>46063</v>
      </c>
      <c r="F18" s="4">
        <f>IF($E18="","",TODAY()-$E18)</f>
        <v/>
      </c>
      <c r="G18" s="4">
        <f>IF($F18="","",IF($F18&gt;=DestructionDays,"Due for Destruction",IF($F18&gt;=WarningDays,"Warning","Normal")))</f>
        <v/>
      </c>
      <c r="H18" s="4">
        <f>IF($F18="","",$F18&gt;=DestructionDays)</f>
        <v/>
      </c>
      <c r="I18" s="4">
        <f>IF($F18="","",DestructionDays-$F18)</f>
        <v/>
      </c>
      <c r="J18" s="4">
        <f>IF($F18="","",MAX(0,$F18-DestructionDays))</f>
        <v/>
      </c>
    </row>
    <row r="19">
      <c r="A19" s="4" t="inlineStr">
        <is>
          <t>5412 7510 0018</t>
        </is>
      </c>
      <c r="B19" s="4" t="inlineStr">
        <is>
          <t>541275</t>
        </is>
      </c>
      <c r="C19" s="4" t="inlineStr">
        <is>
          <t>Visa Credit</t>
        </is>
      </c>
      <c r="D19" s="4" t="inlineStr">
        <is>
          <t>Thika</t>
        </is>
      </c>
      <c r="E19" s="17" t="n">
        <v>46044</v>
      </c>
      <c r="F19" s="4">
        <f>IF($E19="","",TODAY()-$E19)</f>
        <v/>
      </c>
      <c r="G19" s="4">
        <f>IF($F19="","",IF($F19&gt;=DestructionDays,"Due for Destruction",IF($F19&gt;=WarningDays,"Warning","Normal")))</f>
        <v/>
      </c>
      <c r="H19" s="4">
        <f>IF($F19="","",$F19&gt;=DestructionDays)</f>
        <v/>
      </c>
      <c r="I19" s="4">
        <f>IF($F19="","",DestructionDays-$F19)</f>
        <v/>
      </c>
      <c r="J19" s="4">
        <f>IF($F19="","",MAX(0,$F19-DestructionDays))</f>
        <v/>
      </c>
    </row>
    <row r="20">
      <c r="A20" s="4" t="inlineStr">
        <is>
          <t>4012 8888 0019</t>
        </is>
      </c>
      <c r="B20" s="4" t="inlineStr">
        <is>
          <t>401288</t>
        </is>
      </c>
      <c r="C20" s="4" t="inlineStr">
        <is>
          <t>Prepaid</t>
        </is>
      </c>
      <c r="D20" s="4" t="inlineStr">
        <is>
          <t>Nairobi CBD</t>
        </is>
      </c>
      <c r="E20" s="17" t="n">
        <v>46183</v>
      </c>
      <c r="F20" s="4">
        <f>IF($E20="","",TODAY()-$E20)</f>
        <v/>
      </c>
      <c r="G20" s="4">
        <f>IF($F20="","",IF($F20&gt;=DestructionDays,"Due for Destruction",IF($F20&gt;=WarningDays,"Warning","Normal")))</f>
        <v/>
      </c>
      <c r="H20" s="4">
        <f>IF($F20="","",$F20&gt;=DestructionDays)</f>
        <v/>
      </c>
      <c r="I20" s="4">
        <f>IF($F20="","",DestructionDays-$F20)</f>
        <v/>
      </c>
      <c r="J20" s="4">
        <f>IF($F20="","",MAX(0,$F20-DestructionDays))</f>
        <v/>
      </c>
    </row>
    <row r="21">
      <c r="A21" s="4" t="inlineStr">
        <is>
          <t>5412 7510 0020</t>
        </is>
      </c>
      <c r="B21" s="4" t="inlineStr">
        <is>
          <t>541275</t>
        </is>
      </c>
      <c r="C21" s="4" t="inlineStr">
        <is>
          <t>Mastercard Credit</t>
        </is>
      </c>
      <c r="D21" s="4" t="inlineStr">
        <is>
          <t>Mombasa</t>
        </is>
      </c>
      <c r="E21" s="17" t="n">
        <v>46169</v>
      </c>
      <c r="F21" s="4">
        <f>IF($E21="","",TODAY()-$E21)</f>
        <v/>
      </c>
      <c r="G21" s="4">
        <f>IF($F21="","",IF($F21&gt;=DestructionDays,"Due for Destruction",IF($F21&gt;=WarningDays,"Warning","Normal")))</f>
        <v/>
      </c>
      <c r="H21" s="4">
        <f>IF($F21="","",$F21&gt;=DestructionDays)</f>
        <v/>
      </c>
      <c r="I21" s="4">
        <f>IF($F21="","",DestructionDays-$F21)</f>
        <v/>
      </c>
      <c r="J21" s="4">
        <f>IF($F21="","",MAX(0,$F21-DestructionDays))</f>
        <v/>
      </c>
    </row>
    <row r="22">
      <c r="A22" s="4" t="inlineStr">
        <is>
          <t>4012 8888 0021</t>
        </is>
      </c>
      <c r="B22" s="4" t="inlineStr">
        <is>
          <t>401288</t>
        </is>
      </c>
      <c r="C22" s="4" t="inlineStr">
        <is>
          <t>Visa Debit</t>
        </is>
      </c>
      <c r="D22" s="4" t="inlineStr">
        <is>
          <t>Kisumu</t>
        </is>
      </c>
      <c r="E22" s="17" t="n">
        <v>46154</v>
      </c>
      <c r="F22" s="4">
        <f>IF($E22="","",TODAY()-$E22)</f>
        <v/>
      </c>
      <c r="G22" s="4">
        <f>IF($F22="","",IF($F22&gt;=DestructionDays,"Due for Destruction",IF($F22&gt;=WarningDays,"Warning","Normal")))</f>
        <v/>
      </c>
      <c r="H22" s="4">
        <f>IF($F22="","",$F22&gt;=DestructionDays)</f>
        <v/>
      </c>
      <c r="I22" s="4">
        <f>IF($F22="","",DestructionDays-$F22)</f>
        <v/>
      </c>
      <c r="J22" s="4">
        <f>IF($F22="","",MAX(0,$F22-DestructionDays))</f>
        <v/>
      </c>
    </row>
    <row r="23">
      <c r="A23" s="4" t="inlineStr">
        <is>
          <t>5412 7510 0022</t>
        </is>
      </c>
      <c r="B23" s="4" t="inlineStr">
        <is>
          <t>541275</t>
        </is>
      </c>
      <c r="C23" s="4" t="inlineStr">
        <is>
          <t>Mastercard Debit</t>
        </is>
      </c>
      <c r="D23" s="4" t="inlineStr">
        <is>
          <t>Nakuru</t>
        </is>
      </c>
      <c r="E23" s="17" t="n">
        <v>46132</v>
      </c>
      <c r="F23" s="4">
        <f>IF($E23="","",TODAY()-$E23)</f>
        <v/>
      </c>
      <c r="G23" s="4">
        <f>IF($F23="","",IF($F23&gt;=DestructionDays,"Due for Destruction",IF($F23&gt;=WarningDays,"Warning","Normal")))</f>
        <v/>
      </c>
      <c r="H23" s="4">
        <f>IF($F23="","",$F23&gt;=DestructionDays)</f>
        <v/>
      </c>
      <c r="I23" s="4">
        <f>IF($F23="","",DestructionDays-$F23)</f>
        <v/>
      </c>
      <c r="J23" s="4">
        <f>IF($F23="","",MAX(0,$F23-DestructionDays))</f>
        <v/>
      </c>
    </row>
    <row r="24">
      <c r="A24" s="4" t="inlineStr">
        <is>
          <t>4012 8888 0023</t>
        </is>
      </c>
      <c r="B24" s="4" t="inlineStr">
        <is>
          <t>401288</t>
        </is>
      </c>
      <c r="C24" s="4" t="inlineStr">
        <is>
          <t>Visa Credit</t>
        </is>
      </c>
      <c r="D24" s="4" t="inlineStr">
        <is>
          <t>Eldoret</t>
        </is>
      </c>
      <c r="E24" s="17" t="n">
        <v>46109</v>
      </c>
      <c r="F24" s="4">
        <f>IF($E24="","",TODAY()-$E24)</f>
        <v/>
      </c>
      <c r="G24" s="4">
        <f>IF($F24="","",IF($F24&gt;=DestructionDays,"Due for Destruction",IF($F24&gt;=WarningDays,"Warning","Normal")))</f>
        <v/>
      </c>
      <c r="H24" s="4">
        <f>IF($F24="","",$F24&gt;=DestructionDays)</f>
        <v/>
      </c>
      <c r="I24" s="4">
        <f>IF($F24="","",DestructionDays-$F24)</f>
        <v/>
      </c>
      <c r="J24" s="4">
        <f>IF($F24="","",MAX(0,$F24-DestructionDays))</f>
        <v/>
      </c>
    </row>
    <row r="25">
      <c r="A25" s="4" t="inlineStr">
        <is>
          <t>5412 7510 0024</t>
        </is>
      </c>
      <c r="B25" s="4" t="inlineStr">
        <is>
          <t>541275</t>
        </is>
      </c>
      <c r="C25" s="4" t="inlineStr">
        <is>
          <t>Prepaid</t>
        </is>
      </c>
      <c r="D25" s="4" t="inlineStr">
        <is>
          <t>Thika</t>
        </is>
      </c>
      <c r="E25" s="17" t="n">
        <v>46096</v>
      </c>
      <c r="F25" s="4">
        <f>IF($E25="","",TODAY()-$E25)</f>
        <v/>
      </c>
      <c r="G25" s="4">
        <f>IF($F25="","",IF($F25&gt;=DestructionDays,"Due for Destruction",IF($F25&gt;=WarningDays,"Warning","Normal")))</f>
        <v/>
      </c>
      <c r="H25" s="4">
        <f>IF($F25="","",$F25&gt;=DestructionDays)</f>
        <v/>
      </c>
      <c r="I25" s="4">
        <f>IF($F25="","",DestructionDays-$F25)</f>
        <v/>
      </c>
      <c r="J25" s="4">
        <f>IF($F25="","",MAX(0,$F25-DestructionDays))</f>
        <v/>
      </c>
    </row>
    <row r="26">
      <c r="A26" s="4" t="inlineStr">
        <is>
          <t>4012 8888 0025</t>
        </is>
      </c>
      <c r="B26" s="4" t="inlineStr">
        <is>
          <t>401288</t>
        </is>
      </c>
      <c r="C26" s="4" t="inlineStr">
        <is>
          <t>Mastercard Credit</t>
        </is>
      </c>
      <c r="D26" s="4" t="inlineStr">
        <is>
          <t>Nairobi CBD</t>
        </is>
      </c>
      <c r="E26" s="17" t="n">
        <v>46020</v>
      </c>
      <c r="F26" s="4">
        <f>IF($E26="","",TODAY()-$E26)</f>
        <v/>
      </c>
      <c r="G26" s="4">
        <f>IF($F26="","",IF($F26&gt;=DestructionDays,"Due for Destruction",IF($F26&gt;=WarningDays,"Warning","Normal")))</f>
        <v/>
      </c>
      <c r="H26" s="4">
        <f>IF($F26="","",$F26&gt;=DestructionDays)</f>
        <v/>
      </c>
      <c r="I26" s="4">
        <f>IF($F26="","",DestructionDays-$F26)</f>
        <v/>
      </c>
      <c r="J26" s="4">
        <f>IF($F26="","",MAX(0,$F26-DestructionDays))</f>
        <v/>
      </c>
    </row>
  </sheetData>
  <conditionalFormatting sqref="A2:J26">
    <cfRule type="expression" priority="1" dxfId="2" stopIfTrue="1">
      <formula>$F2&gt;=DestructionDays</formula>
    </cfRule>
    <cfRule type="expression" priority="2" dxfId="3" stopIfTrue="1">
      <formula>AND($F2&gt;=WarningDays,$F2&lt;DestructionDays)</formula>
    </cfRule>
    <cfRule type="expression" priority="3" dxfId="4" stopIfTrue="1">
      <formula>AND($F2&lt;&gt;"",$F2&lt;WarningDays)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8" t="inlineStr">
        <is>
          <t>Destruction Due Report (90+ days) — most overdue first</t>
        </is>
      </c>
    </row>
    <row r="2">
      <c r="A2" s="15" t="inlineStr">
        <is>
          <t>Auto-generated from Card_Master. Requires Excel 365 / 2021 (FILTER/SORT/HSTACK). For older Excel, AutoFilter Card_Master on Age Category = 'Due for Destruction' and sort Days Overdue desc.</t>
        </is>
      </c>
    </row>
    <row r="3">
      <c r="A3" s="16" t="inlineStr">
        <is>
          <t>Card Number</t>
        </is>
      </c>
      <c r="B3" s="16" t="inlineStr">
        <is>
          <t>BIN</t>
        </is>
      </c>
      <c r="C3" s="16" t="inlineStr">
        <is>
          <t>Card Type</t>
        </is>
      </c>
      <c r="D3" s="16" t="inlineStr">
        <is>
          <t>Branch</t>
        </is>
      </c>
      <c r="E3" s="16" t="inlineStr">
        <is>
          <t>Date Received</t>
        </is>
      </c>
      <c r="F3" s="16" t="inlineStr">
        <is>
          <t>Card Age</t>
        </is>
      </c>
      <c r="G3" s="16" t="inlineStr">
        <is>
          <t>Status</t>
        </is>
      </c>
      <c r="H3" s="16" t="inlineStr">
        <is>
          <t>Days Overdue</t>
        </is>
      </c>
    </row>
    <row r="4">
      <c r="A4" s="19">
        <f>IFERROR(SORT(FILTER(HSTACK(Card_Master[Card Number],Card_Master[BIN],Card_Master[Card Type],Card_Master[Branch],Card_Master[Date Received],Card_Master[Card Age (Days)],Card_Master[Age Category],Card_Master[Days Overdue]),Card_Master[Card Age (Days)]&gt;=DestructionDays),6,-1),"No cards are currently due for destruction.")</f>
        <v/>
      </c>
    </row>
  </sheetData>
  <conditionalFormatting sqref="A4:H1000">
    <cfRule type="expression" priority="1" dxfId="2">
      <formula>$F4&gt;=DestructionDays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20" t="inlineStr">
        <is>
          <t>Card Search</t>
        </is>
      </c>
    </row>
    <row r="3">
      <c r="A3" s="21" t="inlineStr">
        <is>
          <t>Enter Card Number:</t>
        </is>
      </c>
      <c r="B3" s="22" t="inlineStr">
        <is>
          <t>4012 8888 0001</t>
        </is>
      </c>
    </row>
    <row r="5">
      <c r="A5" s="23" t="inlineStr">
        <is>
          <t>Card Number</t>
        </is>
      </c>
      <c r="B5" s="4">
        <f>IFERROR(XLOOKUP($B$3,Card_Master[Card Number],Card_Master[Card Number]),"Not found")</f>
        <v/>
      </c>
    </row>
    <row r="6">
      <c r="A6" s="23" t="inlineStr">
        <is>
          <t>BIN</t>
        </is>
      </c>
      <c r="B6" s="4">
        <f>IFERROR(XLOOKUP($B$3,Card_Master[Card Number],Card_Master[BIN]),"")</f>
        <v/>
      </c>
    </row>
    <row r="7">
      <c r="A7" s="23" t="inlineStr">
        <is>
          <t>Card Type</t>
        </is>
      </c>
      <c r="B7" s="4">
        <f>IFERROR(XLOOKUP($B$3,Card_Master[Card Number],Card_Master[Card Type]),"")</f>
        <v/>
      </c>
    </row>
    <row r="8">
      <c r="A8" s="23" t="inlineStr">
        <is>
          <t>Branch</t>
        </is>
      </c>
      <c r="B8" s="4">
        <f>IFERROR(XLOOKUP($B$3,Card_Master[Card Number],Card_Master[Branch]),"")</f>
        <v/>
      </c>
    </row>
    <row r="9">
      <c r="A9" s="23" t="inlineStr">
        <is>
          <t>Date Received</t>
        </is>
      </c>
      <c r="B9" s="17">
        <f>IFERROR(XLOOKUP($B$3,Card_Master[Card Number],Card_Master[Date Received]),"")</f>
        <v/>
      </c>
    </row>
    <row r="10">
      <c r="A10" s="23" t="inlineStr">
        <is>
          <t>Card Age (Days)</t>
        </is>
      </c>
      <c r="B10" s="4">
        <f>IFERROR(XLOOKUP($B$3,Card_Master[Card Number],Card_Master[Card Age (Days)]),"")</f>
        <v/>
      </c>
    </row>
    <row r="11">
      <c r="A11" s="23" t="inlineStr">
        <is>
          <t>Age Category</t>
        </is>
      </c>
      <c r="B11" s="4">
        <f>IFERROR(XLOOKUP($B$3,Card_Master[Card Number],Card_Master[Age Category]),"")</f>
        <v/>
      </c>
    </row>
    <row r="12">
      <c r="A12" s="23" t="inlineStr">
        <is>
          <t>Destruction Status</t>
        </is>
      </c>
      <c r="B12" s="4">
        <f>IF(IFERROR(XLOOKUP($B$3,Card_Master[Card Number],Card_Master[Card Age (Days)]),"")&gt;=DestructionDays,"Yes","No")</f>
        <v/>
      </c>
    </row>
    <row r="13">
      <c r="A13" s="23" t="inlineStr">
        <is>
          <t>Days Remaining / Overdue</t>
        </is>
      </c>
      <c r="B13" s="4">
        <f>IF(IFERROR(XLOOKUP($B$3,Card_Master[Card Number],Card_Master[Card Age (Days)]),"")="","",IF(IFERROR(XLOOKUP($B$3,Card_Master[Card Number],Card_Master[Card Age (Days)]),"")&gt;=DestructionDays,"OVERDUE by "&amp;(IFERROR(XLOOKUP($B$3,Card_Master[Card Number],Card_Master[Card Age (Days)]),"")-DestructionDays)&amp;" days",(DestructionDays-IFERROR(XLOOKUP($B$3,Card_Master[Card Number],Card_Master[Card Age (Days)]),""))&amp;" days remaining"))</f>
        <v/>
      </c>
    </row>
  </sheetData>
  <conditionalFormatting sqref="B11">
    <cfRule type="expression" priority="1" dxfId="2">
      <formula>$B$11="Due for Destruction"</formula>
    </cfRule>
    <cfRule type="expression" priority="2" dxfId="3">
      <formula>$B$11="Warning"</formula>
    </cfRule>
    <cfRule type="expression" priority="3" dxfId="4">
      <formula>$B$11="Normal"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8" t="inlineStr">
        <is>
          <t>Audit Log — destruction-eligibility status changes</t>
        </is>
      </c>
    </row>
    <row r="2">
      <c r="A2" s="15" t="inlineStr">
        <is>
          <t>Append-only. The VBA macros in CardLifecycle_Macros.bas write here automatically when a card crosses 60 / 85 / 90 days or is marked for destruction. Do not edit historical rows (regulatory audit trail).</t>
        </is>
      </c>
    </row>
    <row r="3">
      <c r="A3" s="16" t="inlineStr">
        <is>
          <t>Timestamp</t>
        </is>
      </c>
      <c r="B3" s="16" t="inlineStr">
        <is>
          <t>Card Number</t>
        </is>
      </c>
      <c r="C3" s="16" t="inlineStr">
        <is>
          <t>Event</t>
        </is>
      </c>
      <c r="D3" s="16" t="inlineStr">
        <is>
          <t>Old Status</t>
        </is>
      </c>
      <c r="E3" s="16" t="inlineStr">
        <is>
          <t>New Status</t>
        </is>
      </c>
      <c r="F3" s="16" t="inlineStr">
        <is>
          <t>Age (Days)</t>
        </is>
      </c>
      <c r="G3" s="16" t="inlineStr">
        <is>
          <t>Performed By</t>
        </is>
      </c>
      <c r="H3" s="16" t="inlineStr">
        <is>
          <t>Notes</t>
        </is>
      </c>
    </row>
    <row r="4">
      <c r="A4" s="24" t="n">
        <v>46135.375</v>
      </c>
      <c r="B4" s="4" t="inlineStr">
        <is>
          <t>5412 7510 0006</t>
        </is>
      </c>
      <c r="C4" s="4" t="inlineStr">
        <is>
          <t>Crossed 60 days</t>
        </is>
      </c>
      <c r="D4" s="4" t="inlineStr">
        <is>
          <t>Normal</t>
        </is>
      </c>
      <c r="E4" s="4" t="inlineStr">
        <is>
          <t>Warning</t>
        </is>
      </c>
      <c r="F4" s="4" t="n">
        <v>60</v>
      </c>
      <c r="G4" s="4" t="inlineStr">
        <is>
          <t>SYSTEM</t>
        </is>
      </c>
      <c r="H4" s="4" t="inlineStr">
        <is>
          <t>Early-warning flag raised</t>
        </is>
      </c>
    </row>
    <row r="5">
      <c r="A5" s="24" t="n">
        <v>46160.375</v>
      </c>
      <c r="B5" s="4" t="inlineStr">
        <is>
          <t>5412 7510 0010</t>
        </is>
      </c>
      <c r="C5" s="4" t="inlineStr">
        <is>
          <t>Crossed 85 days</t>
        </is>
      </c>
      <c r="D5" s="4" t="inlineStr">
        <is>
          <t>Warning</t>
        </is>
      </c>
      <c r="E5" s="4" t="inlineStr">
        <is>
          <t>Warning (High Risk)</t>
        </is>
      </c>
      <c r="F5" s="4" t="n">
        <v>85</v>
      </c>
      <c r="G5" s="4" t="inlineStr">
        <is>
          <t>SYSTEM</t>
        </is>
      </c>
      <c r="H5" s="4" t="inlineStr">
        <is>
          <t>Escalation — high risk</t>
        </is>
      </c>
    </row>
    <row r="6">
      <c r="A6" s="24" t="n">
        <v>46105.375</v>
      </c>
      <c r="B6" s="4" t="inlineStr">
        <is>
          <t>4012 8888 0013</t>
        </is>
      </c>
      <c r="C6" s="4" t="inlineStr">
        <is>
          <t>Crossed 90 days</t>
        </is>
      </c>
      <c r="D6" s="4" t="inlineStr">
        <is>
          <t>Warning</t>
        </is>
      </c>
      <c r="E6" s="4" t="inlineStr">
        <is>
          <t>Due for Destruction</t>
        </is>
      </c>
      <c r="F6" s="4" t="n">
        <v>90</v>
      </c>
      <c r="G6" s="4" t="inlineStr">
        <is>
          <t>SYSTEM</t>
        </is>
      </c>
      <c r="H6" s="4" t="inlineStr">
        <is>
          <t>Eligible for destruction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70" customWidth="1" min="3" max="3"/>
  </cols>
  <sheetData>
    <row r="1">
      <c r="A1" s="20" t="inlineStr">
        <is>
          <t>Card Lifecycle — Configuration</t>
        </is>
      </c>
    </row>
    <row r="3">
      <c r="A3" s="16" t="inlineStr">
        <is>
          <t>Business constant</t>
        </is>
      </c>
      <c r="B3" s="16" t="inlineStr">
        <is>
          <t>Value</t>
        </is>
      </c>
      <c r="C3" s="16" t="inlineStr">
        <is>
          <t>Meaning</t>
        </is>
      </c>
    </row>
    <row r="4">
      <c r="A4" s="23" t="inlineStr">
        <is>
          <t>WarningDays</t>
        </is>
      </c>
      <c r="B4" s="4" t="n">
        <v>60</v>
      </c>
      <c r="C4" s="4" t="inlineStr">
        <is>
          <t>Age at which a card enters WARNING (nearing expiry)</t>
        </is>
      </c>
    </row>
    <row r="5">
      <c r="A5" s="23" t="inlineStr">
        <is>
          <t>EscalateDays</t>
        </is>
      </c>
      <c r="B5" s="4" t="n">
        <v>85</v>
      </c>
      <c r="C5" s="4" t="inlineStr">
        <is>
          <t>Age at which a card becomes HIGH RISK (escalate)</t>
        </is>
      </c>
    </row>
    <row r="6">
      <c r="A6" s="23" t="inlineStr">
        <is>
          <t>DestructionDays</t>
        </is>
      </c>
      <c r="B6" s="4" t="n">
        <v>90</v>
      </c>
      <c r="C6" s="4" t="inlineStr">
        <is>
          <t>Maximum holding period — 90+ is DUE FOR DESTRUCTION</t>
        </is>
      </c>
    </row>
    <row r="7">
      <c r="A7" s="23" t="inlineStr">
        <is>
          <t>RedAlertThreshold</t>
        </is>
      </c>
      <c r="B7" s="4" t="n">
        <v>5</v>
      </c>
      <c r="C7" s="4" t="inlineStr">
        <is>
          <t>Dashboard banner fires when red cards EXCEED this</t>
        </is>
      </c>
    </row>
    <row r="10">
      <c r="A10" s="15" t="inlineStr">
        <is>
          <t>Card Age is computed dynamically as TODAY() - Date Received. These constants drive every sheet; change them here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2026-06-22T08:32:08Z</dcterms:created>
  <dcterms:modified xsi:type="dcterms:W3CDTF">2026-06-22T08:32:08Z</dcterms:modified>
</cp:coreProperties>
</file>